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_Uses" sheetId="3" state="visible" r:id="rId3"/>
    <sheet xmlns:r="http://schemas.openxmlformats.org/officeDocument/2006/relationships" name="Operating" sheetId="4" state="visible" r:id="rId4"/>
    <sheet xmlns:r="http://schemas.openxmlformats.org/officeDocument/2006/relationships" name="Debt_Schedule" sheetId="5" state="visible" r:id="rId5"/>
    <sheet xmlns:r="http://schemas.openxmlformats.org/officeDocument/2006/relationships" name="Cash_Flow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ensitivity" sheetId="8" state="visible" r:id="rId8"/>
  </sheets>
  <definedNames>
    <definedName name="entry_multiple">Assumptions!$C$5</definedName>
    <definedName name="exit_multiple">Assumptions!$C$6</definedName>
    <definedName name="holding_period">Assumptions!$C$7</definedName>
    <definedName name="transaction_fees">Assumptions!$C$8</definedName>
    <definedName name="financing_fees">Assumptions!$C$9</definedName>
    <definedName name="mgmt_rollover">Assumptions!$C$10</definedName>
    <definedName name="senior_multiple">Assumptions!$C$14</definedName>
    <definedName name="senior_rate">Assumptions!$C$15</definedName>
    <definedName name="senior_amort">Assumptions!$C$16</definedName>
    <definedName name="mezz_multiple">Assumptions!$C$17</definedName>
    <definedName name="mezz_rate">Assumptions!$C$18</definedName>
    <definedName name="mezz_pik">Assumptions!$C$19</definedName>
    <definedName name="sub_multiple">Assumptions!$C$20</definedName>
    <definedName name="sub_rate">Assumptions!$C$21</definedName>
    <definedName name="rev_growth">Assumptions!$C$25</definedName>
    <definedName name="ebitda_margin">Assumptions!$C$26</definedName>
    <definedName name="da_pct">Assumptions!$C$27</definedName>
    <definedName name="capex_pct">Assumptions!$C$28</definedName>
    <definedName name="nwc_pct">Assumptions!$C$29</definedName>
    <definedName name="tax_rate">Assumptions!$C$30</definedName>
    <definedName name="total_uses">Sources_Uses!$C$9</definedName>
    <definedName name="sponsor_equity">Sources_Uses!$C$17</definedName>
    <definedName name="op_ebitda_row">Operating!$B$9</definedName>
    <definedName name="op_revenue_row">Operating!$B$6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x"/>
    <numFmt numFmtId="165" formatCode="0.0%"/>
    <numFmt numFmtId="166" formatCode="₹#,##0"/>
    <numFmt numFmtId="167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1F4E79"/>
    </font>
    <font>
      <b val="1"/>
    </font>
    <font>
      <b val="1"/>
      <color rgb="00FFFFFF"/>
      <sz val="12"/>
    </font>
    <font>
      <b val="1"/>
      <color rgb="001F4E79"/>
      <sz val="14"/>
    </font>
    <font>
      <b val="1"/>
      <color rgb="001F4E79"/>
      <sz val="12"/>
    </font>
    <font>
      <b val="1"/>
      <color rgb="001F4E79"/>
      <sz val="11"/>
    </font>
    <font>
      <b val="1"/>
      <color rgb="004472C4"/>
      <sz val="11"/>
    </font>
    <font>
      <b val="1"/>
      <color rgb="007030A0"/>
      <sz val="11"/>
    </font>
    <font>
      <b val="1"/>
      <color rgb="00C00000"/>
      <sz val="11"/>
    </font>
    <font>
      <b val="1"/>
      <color rgb="0000B05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00B050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/>
      <right style="thin"/>
      <top style="thin"/>
      <bottom style="thin"/>
    </border>
    <border/>
  </borders>
  <cellStyleXfs count="5">
    <xf numFmtId="0" fontId="0" fillId="0" borderId="0"/>
    <xf numFmtId="0" fontId="1" fillId="2" borderId="1" applyAlignment="1">
      <alignment horizontal="center" vertical="center"/>
    </xf>
    <xf numFmtId="0" fontId="2" fillId="3" borderId="2"/>
    <xf numFmtId="0" fontId="3" fillId="4" borderId="3"/>
    <xf numFmtId="0" fontId="4" fillId="5" borderId="3" applyAlignment="1">
      <alignment horizontal="center"/>
    </xf>
  </cellStyleXfs>
  <cellXfs count="18"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2" pivotButton="0" quotePrefix="0" xfId="2"/>
    <xf numFmtId="166" fontId="0" fillId="0" borderId="0" pivotButton="0" quotePrefix="0" xfId="0"/>
    <xf numFmtId="165" fontId="0" fillId="0" borderId="0" pivotButton="0" quotePrefix="0" xfId="0"/>
    <xf numFmtId="166" fontId="3" fillId="0" borderId="0" pivotButton="0" quotePrefix="0" xfId="0"/>
    <xf numFmtId="164" fontId="0" fillId="0" borderId="0" pivotButton="0" quotePrefix="0" xfId="0"/>
    <xf numFmtId="0" fontId="3" fillId="4" borderId="3" pivotButton="0" quotePrefix="0" xfId="3"/>
    <xf numFmtId="0" fontId="1" fillId="2" borderId="1" applyAlignment="1" pivotButton="0" quotePrefix="0" xfId="1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5" borderId="3" applyAlignment="1" pivotButton="0" quotePrefix="0" xfId="4">
      <alignment horizontal="center"/>
    </xf>
    <xf numFmtId="167" fontId="0" fillId="0" borderId="0" pivotButton="0" quotePrefix="0" xfId="0"/>
  </cellXfs>
  <cellStyles count="5">
    <cellStyle name="Normal" xfId="0" builtinId="0" hidden="0"/>
    <cellStyle name="lbo_header" xfId="1" hidden="0"/>
    <cellStyle name="lbo_input" xfId="2" hidden="0"/>
    <cellStyle name="lbo_output" xfId="3" hidden="0"/>
    <cellStyle name="lbo_returns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</cols>
  <sheetData>
    <row r="1" ht="25" customHeight="1">
      <c r="A1" s="1" t="inlineStr">
        <is>
          <t>NTPC - LBO Analysis</t>
        </is>
      </c>
    </row>
    <row r="4">
      <c r="B4" s="2" t="inlineStr">
        <is>
          <t>Company</t>
        </is>
      </c>
      <c r="C4" t="inlineStr">
        <is>
          <t>NTPC</t>
        </is>
      </c>
    </row>
    <row r="5">
      <c r="B5" s="2" t="inlineStr">
        <is>
          <t>Industry</t>
        </is>
      </c>
      <c r="C5" t="inlineStr">
        <is>
          <t>General</t>
        </is>
      </c>
    </row>
    <row r="6">
      <c r="B6" s="2" t="inlineStr">
        <is>
          <t>Analysis Date</t>
        </is>
      </c>
      <c r="C6" t="inlineStr">
        <is>
          <t>January 30, 2026</t>
        </is>
      </c>
    </row>
    <row r="7">
      <c r="B7" s="2" t="inlineStr">
        <is>
          <t>Holding Period</t>
        </is>
      </c>
      <c r="C7" t="inlineStr">
        <is>
          <t>5 Years</t>
        </is>
      </c>
    </row>
    <row r="8">
      <c r="B8" s="2" t="inlineStr">
        <is>
          <t>Entry Multiple</t>
        </is>
      </c>
      <c r="C8" t="inlineStr">
        <is>
          <t>8.0x EV/EBITDA</t>
        </is>
      </c>
    </row>
    <row r="9">
      <c r="B9" s="2" t="inlineStr">
        <is>
          <t>Exit Multiple</t>
        </is>
      </c>
      <c r="C9" t="inlineStr">
        <is>
          <t>8.0x EV/EBITDA</t>
        </is>
      </c>
    </row>
    <row r="12">
      <c r="B12" s="3" t="inlineStr">
        <is>
          <t>Model Contents</t>
        </is>
      </c>
    </row>
    <row r="13">
      <c r="C13" t="inlineStr">
        <is>
          <t>• Assumptions - Transaction &amp; Operating Assumptions</t>
        </is>
      </c>
    </row>
    <row r="14">
      <c r="C14" t="inlineStr">
        <is>
          <t>• Sources &amp; Uses - Transaction Funding Structure</t>
        </is>
      </c>
    </row>
    <row r="15">
      <c r="C15" t="inlineStr">
        <is>
          <t>• Operating Model - Revenue &amp; EBITDA Projections</t>
        </is>
      </c>
    </row>
    <row r="16">
      <c r="C16" t="inlineStr">
        <is>
          <t>• Debt Schedule - Senior, Mezz, Subordinated Tranches</t>
        </is>
      </c>
    </row>
    <row r="17">
      <c r="C17" t="inlineStr">
        <is>
          <t>• Cash Flow - Free Cash Flow &amp; Debt Paydown</t>
        </is>
      </c>
    </row>
    <row r="18">
      <c r="C18" t="inlineStr">
        <is>
          <t>• Returns - IRR, MoIC, Payback Analysis</t>
        </is>
      </c>
    </row>
    <row r="19">
      <c r="C19" t="inlineStr">
        <is>
          <t>• Sensitivity - Returns by Exit Multiple &amp; Leverage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3" max="3"/>
  </cols>
  <sheetData>
    <row r="1" ht="25" customHeight="1">
      <c r="A1" s="1" t="inlineStr">
        <is>
          <t>LBO Assumptions</t>
        </is>
      </c>
    </row>
    <row r="4">
      <c r="B4" s="4" t="inlineStr">
        <is>
          <t>Transaction Assumptions</t>
        </is>
      </c>
    </row>
    <row r="5">
      <c r="B5" t="inlineStr">
        <is>
          <t>Entry EV/EBITDA Multiple</t>
        </is>
      </c>
      <c r="C5" s="5" t="n">
        <v>8</v>
      </c>
    </row>
    <row r="6">
      <c r="B6" t="inlineStr">
        <is>
          <t>Exit EV/EBITDA Multiple</t>
        </is>
      </c>
      <c r="C6" s="5" t="n">
        <v>8</v>
      </c>
    </row>
    <row r="7">
      <c r="B7" t="inlineStr">
        <is>
          <t>Holding Period (Years)</t>
        </is>
      </c>
      <c r="C7" s="5" t="n">
        <v>5</v>
      </c>
    </row>
    <row r="8">
      <c r="B8" t="inlineStr">
        <is>
          <t>Transaction Fees (% of EV)</t>
        </is>
      </c>
      <c r="C8" s="5" t="n">
        <v>0.02</v>
      </c>
    </row>
    <row r="9">
      <c r="B9" t="inlineStr">
        <is>
          <t>Financing Fees (% of Debt)</t>
        </is>
      </c>
      <c r="C9" s="5" t="n">
        <v>0.03</v>
      </c>
    </row>
    <row r="10">
      <c r="B10" t="inlineStr">
        <is>
          <t>Management Rollover (%)</t>
        </is>
      </c>
      <c r="C10" s="5" t="n">
        <v>0.1</v>
      </c>
    </row>
    <row r="13">
      <c r="B13" s="4" t="inlineStr">
        <is>
          <t>Debt Structure</t>
        </is>
      </c>
    </row>
    <row r="14">
      <c r="B14" t="inlineStr">
        <is>
          <t>Senior Debt Multiple (x EBITDA)</t>
        </is>
      </c>
      <c r="C14" s="5" t="n">
        <v>3</v>
      </c>
    </row>
    <row r="15">
      <c r="B15" t="inlineStr">
        <is>
          <t>Senior Interest Rate</t>
        </is>
      </c>
      <c r="C15" s="5" t="n">
        <v>0.08</v>
      </c>
    </row>
    <row r="16">
      <c r="B16" t="inlineStr">
        <is>
          <t>Senior Amortization (Years)</t>
        </is>
      </c>
      <c r="C16" s="5" t="n">
        <v>7</v>
      </c>
    </row>
    <row r="17">
      <c r="B17" t="inlineStr">
        <is>
          <t>Mezzanine Debt Multiple (x EBITDA)</t>
        </is>
      </c>
      <c r="C17" s="5" t="n">
        <v>1.5</v>
      </c>
    </row>
    <row r="18">
      <c r="B18" t="inlineStr">
        <is>
          <t>Mezzanine Cash Interest</t>
        </is>
      </c>
      <c r="C18" s="5" t="n">
        <v>0.12</v>
      </c>
    </row>
    <row r="19">
      <c r="B19" t="inlineStr">
        <is>
          <t>Mezzanine PIK Interest</t>
        </is>
      </c>
      <c r="C19" s="5" t="n">
        <v>0.02</v>
      </c>
    </row>
    <row r="20">
      <c r="B20" t="inlineStr">
        <is>
          <t>Subordinated Debt Multiple (x EBITDA)</t>
        </is>
      </c>
      <c r="C20" s="5" t="n">
        <v>0.5</v>
      </c>
    </row>
    <row r="21">
      <c r="B21" t="inlineStr">
        <is>
          <t>Subordinated Interest Rate</t>
        </is>
      </c>
      <c r="C21" s="5" t="n">
        <v>0.14</v>
      </c>
    </row>
    <row r="24">
      <c r="B24" s="4" t="inlineStr">
        <is>
          <t>Operating Assumptions</t>
        </is>
      </c>
    </row>
    <row r="25">
      <c r="B25" t="inlineStr">
        <is>
          <t>Revenue Growth Rate</t>
        </is>
      </c>
      <c r="C25" s="5" t="n">
        <v>0.08</v>
      </c>
    </row>
    <row r="26">
      <c r="B26" t="inlineStr">
        <is>
          <t>EBITDA Margin</t>
        </is>
      </c>
      <c r="C26" s="5" t="n">
        <v>0.25</v>
      </c>
    </row>
    <row r="27">
      <c r="B27" t="inlineStr">
        <is>
          <t>D&amp;A (% of Revenue)</t>
        </is>
      </c>
      <c r="C27" s="5" t="n">
        <v>0.05</v>
      </c>
    </row>
    <row r="28">
      <c r="B28" t="inlineStr">
        <is>
          <t>CapEx (% of Revenue)</t>
        </is>
      </c>
      <c r="C28" s="5" t="n">
        <v>0.04</v>
      </c>
    </row>
    <row r="29">
      <c r="B29" t="inlineStr">
        <is>
          <t>Working Capital (% of Revenue)</t>
        </is>
      </c>
      <c r="C29" s="5" t="n">
        <v>0.1</v>
      </c>
    </row>
    <row r="30">
      <c r="B30" t="inlineStr">
        <is>
          <t>Tax Rate</t>
        </is>
      </c>
      <c r="C30" s="5" t="n">
        <v>0.25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2" customWidth="1" min="4" max="4"/>
    <col width="12" customWidth="1" min="5" max="5"/>
  </cols>
  <sheetData>
    <row r="1" ht="25" customHeight="1">
      <c r="A1" s="1" t="inlineStr">
        <is>
          <t>Sources &amp; Uses of Funds</t>
        </is>
      </c>
    </row>
    <row r="4">
      <c r="B4" s="4" t="inlineStr">
        <is>
          <t>Uses of Funds</t>
        </is>
      </c>
      <c r="C4" s="2" t="inlineStr">
        <is>
          <t>Amount</t>
        </is>
      </c>
      <c r="D4" s="2" t="inlineStr">
        <is>
          <t>% of Total</t>
        </is>
      </c>
    </row>
    <row r="5">
      <c r="B5" t="inlineStr">
        <is>
          <t>Purchase Enterprise Value</t>
        </is>
      </c>
      <c r="C5" s="6">
        <f>1000*entry_multiple</f>
        <v/>
      </c>
      <c r="D5" s="7">
        <f>C5/C9</f>
        <v/>
      </c>
    </row>
    <row r="6">
      <c r="B6" t="inlineStr">
        <is>
          <t>Transaction Fees</t>
        </is>
      </c>
      <c r="C6" s="6">
        <f>B5*transaction_fees</f>
        <v/>
      </c>
      <c r="D6" s="7">
        <f>C6/C9</f>
        <v/>
      </c>
    </row>
    <row r="7">
      <c r="B7" t="inlineStr">
        <is>
          <t>Financing Fees</t>
        </is>
      </c>
      <c r="C7" s="6">
        <f>(senior_multiple+mezz_multiple+sub_multiple)*1000*financing_fees</f>
        <v/>
      </c>
      <c r="D7" s="7">
        <f>C7/C9</f>
        <v/>
      </c>
    </row>
    <row r="8">
      <c r="B8" t="inlineStr">
        <is>
          <t>Minimum Cash</t>
        </is>
      </c>
      <c r="C8" s="6" t="n">
        <v>50</v>
      </c>
      <c r="D8" s="7">
        <f>C8/C9</f>
        <v/>
      </c>
    </row>
    <row r="9">
      <c r="B9" s="2" t="inlineStr">
        <is>
          <t>Total Uses</t>
        </is>
      </c>
      <c r="C9" s="8">
        <f>SUM(C5:C8)</f>
        <v/>
      </c>
    </row>
    <row r="12">
      <c r="B12" s="4" t="inlineStr">
        <is>
          <t>Sources of Funds</t>
        </is>
      </c>
      <c r="C12" s="2" t="inlineStr">
        <is>
          <t>Amount</t>
        </is>
      </c>
      <c r="D12" s="2" t="inlineStr">
        <is>
          <t>% of Total</t>
        </is>
      </c>
      <c r="E12" s="2" t="inlineStr">
        <is>
          <t>x EBITDA</t>
        </is>
      </c>
    </row>
    <row r="13">
      <c r="B13" t="inlineStr">
        <is>
          <t>Senior Debt</t>
        </is>
      </c>
      <c r="C13" s="6">
        <f>senior_multiple*1000</f>
        <v/>
      </c>
      <c r="D13" s="7">
        <f>C13/C18</f>
        <v/>
      </c>
      <c r="E13" s="9">
        <f>C13/1000</f>
        <v/>
      </c>
    </row>
    <row r="14">
      <c r="B14" t="inlineStr">
        <is>
          <t>Mezzanine Debt</t>
        </is>
      </c>
      <c r="C14" s="6">
        <f>mezz_multiple*1000</f>
        <v/>
      </c>
      <c r="D14" s="7">
        <f>C14/C18</f>
        <v/>
      </c>
      <c r="E14" s="9">
        <f>C14/1000</f>
        <v/>
      </c>
    </row>
    <row r="15">
      <c r="B15" t="inlineStr">
        <is>
          <t>Subordinated Debt</t>
        </is>
      </c>
      <c r="C15" s="6">
        <f>sub_multiple*1000</f>
        <v/>
      </c>
      <c r="D15" s="7">
        <f>C15/C18</f>
        <v/>
      </c>
      <c r="E15" s="9">
        <f>C15/1000</f>
        <v/>
      </c>
    </row>
    <row r="16">
      <c r="B16" t="inlineStr">
        <is>
          <t>Management Rollover</t>
        </is>
      </c>
      <c r="C16" s="6">
        <f>(C9-C13-C14-C15)*mgmt_rollover</f>
        <v/>
      </c>
      <c r="D16" s="7">
        <f>C16/C18</f>
        <v/>
      </c>
      <c r="E16" s="9">
        <f>C16/1000</f>
        <v/>
      </c>
    </row>
    <row r="17">
      <c r="B17" t="inlineStr">
        <is>
          <t>Sponsor Equity (Plug)</t>
        </is>
      </c>
      <c r="C17" s="10">
        <f>C9-SUM(C13:C16)</f>
        <v/>
      </c>
      <c r="D17" s="7">
        <f>C17/C18</f>
        <v/>
      </c>
      <c r="E17" s="9">
        <f>C17/1000</f>
        <v/>
      </c>
    </row>
    <row r="18">
      <c r="B18" s="2" t="inlineStr">
        <is>
          <t>Total Sources</t>
        </is>
      </c>
      <c r="C18" s="8">
        <f>SUM(C13:C17)</f>
        <v/>
      </c>
    </row>
    <row r="20">
      <c r="B20" s="2" t="inlineStr">
        <is>
          <t>Sources - Uses Check</t>
        </is>
      </c>
      <c r="C20" s="6">
        <f>C18-C9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Operating Model</t>
        </is>
      </c>
    </row>
    <row r="4">
      <c r="B4" s="2" t="inlineStr">
        <is>
          <t>Fiscal Year</t>
        </is>
      </c>
      <c r="C4" s="11" t="inlineStr">
        <is>
          <t>Entry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</row>
    <row r="6">
      <c r="B6" s="2" t="inlineStr">
        <is>
          <t>Revenue</t>
        </is>
      </c>
      <c r="C6" s="6" t="n">
        <v>5000</v>
      </c>
      <c r="D6" s="6">
        <f>C6*(1+rev_growth)</f>
        <v/>
      </c>
      <c r="E6" s="6">
        <f>D6*(1+rev_growth)</f>
        <v/>
      </c>
      <c r="F6" s="6">
        <f>E6*(1+rev_growth)</f>
        <v/>
      </c>
      <c r="G6" s="6">
        <f>F6*(1+rev_growth)</f>
        <v/>
      </c>
      <c r="H6" s="6">
        <f>G6*(1+rev_growth)</f>
        <v/>
      </c>
    </row>
    <row r="7">
      <c r="B7" t="inlineStr">
        <is>
          <t xml:space="preserve">  % Growth</t>
        </is>
      </c>
      <c r="C7" t="inlineStr">
        <is>
          <t>-</t>
        </is>
      </c>
      <c r="D7" s="7">
        <f>D6/C6-1</f>
        <v/>
      </c>
      <c r="E7" s="7">
        <f>E6/D6-1</f>
        <v/>
      </c>
      <c r="F7" s="7">
        <f>F6/E6-1</f>
        <v/>
      </c>
      <c r="G7" s="7">
        <f>G6/F6-1</f>
        <v/>
      </c>
      <c r="H7" s="7">
        <f>H6/G6-1</f>
        <v/>
      </c>
    </row>
    <row r="9">
      <c r="B9" s="2" t="inlineStr">
        <is>
          <t>EBITDA</t>
        </is>
      </c>
      <c r="C9" s="6">
        <f>C6*ebitda_margin</f>
        <v/>
      </c>
      <c r="D9" s="6">
        <f>D6*ebitda_margin</f>
        <v/>
      </c>
      <c r="E9" s="6">
        <f>E6*ebitda_margin</f>
        <v/>
      </c>
      <c r="F9" s="6">
        <f>F6*ebitda_margin</f>
        <v/>
      </c>
      <c r="G9" s="6">
        <f>G6*ebitda_margin</f>
        <v/>
      </c>
      <c r="H9" s="6">
        <f>H6*ebitda_margin</f>
        <v/>
      </c>
    </row>
    <row r="10">
      <c r="B10" t="inlineStr">
        <is>
          <t xml:space="preserve">  % Margin</t>
        </is>
      </c>
      <c r="C10" s="7">
        <f>C9/C6</f>
        <v/>
      </c>
      <c r="D10" s="7">
        <f>D9/D6</f>
        <v/>
      </c>
      <c r="E10" s="7">
        <f>E9/E6</f>
        <v/>
      </c>
      <c r="F10" s="7">
        <f>F9/F6</f>
        <v/>
      </c>
      <c r="G10" s="7">
        <f>G9/G6</f>
        <v/>
      </c>
      <c r="H10" s="7">
        <f>H9/H6</f>
        <v/>
      </c>
    </row>
    <row r="12">
      <c r="B12" t="inlineStr">
        <is>
          <t>Depreciation &amp; Amortization</t>
        </is>
      </c>
      <c r="C12" s="6">
        <f>C6*da_pct</f>
        <v/>
      </c>
      <c r="D12" s="6">
        <f>D6*da_pct</f>
        <v/>
      </c>
      <c r="E12" s="6">
        <f>E6*da_pct</f>
        <v/>
      </c>
      <c r="F12" s="6">
        <f>F6*da_pct</f>
        <v/>
      </c>
      <c r="G12" s="6">
        <f>G6*da_pct</f>
        <v/>
      </c>
      <c r="H12" s="6">
        <f>H6*da_pct</f>
        <v/>
      </c>
    </row>
    <row r="13">
      <c r="B13" s="2" t="inlineStr">
        <is>
          <t>EBIT</t>
        </is>
      </c>
      <c r="C13" s="6">
        <f>C9-C12</f>
        <v/>
      </c>
      <c r="D13" s="6">
        <f>D9-D12</f>
        <v/>
      </c>
      <c r="E13" s="6">
        <f>E9-E12</f>
        <v/>
      </c>
      <c r="F13" s="6">
        <f>F9-F12</f>
        <v/>
      </c>
      <c r="G13" s="6">
        <f>G9-G12</f>
        <v/>
      </c>
      <c r="H13" s="6">
        <f>H9-H12</f>
        <v/>
      </c>
    </row>
    <row r="15">
      <c r="B15" t="inlineStr">
        <is>
          <t>Interest Expense</t>
        </is>
      </c>
      <c r="C15" s="6">
        <f>IF(ISERROR(Debt_Schedule!C$50),0,Debt_Schedule!C$50)</f>
        <v/>
      </c>
      <c r="D15" s="6">
        <f>IF(ISERROR(Debt_Schedule!D$50),0,Debt_Schedule!D$50)</f>
        <v/>
      </c>
      <c r="E15" s="6">
        <f>IF(ISERROR(Debt_Schedule!E$50),0,Debt_Schedule!E$50)</f>
        <v/>
      </c>
      <c r="F15" s="6">
        <f>IF(ISERROR(Debt_Schedule!F$50),0,Debt_Schedule!F$50)</f>
        <v/>
      </c>
      <c r="G15" s="6">
        <f>IF(ISERROR(Debt_Schedule!G$50),0,Debt_Schedule!G$50)</f>
        <v/>
      </c>
      <c r="H15" s="6">
        <f>IF(ISERROR(Debt_Schedule!H$50),0,Debt_Schedule!H$50)</f>
        <v/>
      </c>
    </row>
    <row r="16">
      <c r="B16" s="2" t="inlineStr">
        <is>
          <t>EBT (Earnings Before Tax)</t>
        </is>
      </c>
      <c r="C16" s="6">
        <f>C13-C15</f>
        <v/>
      </c>
      <c r="D16" s="6">
        <f>D13-D15</f>
        <v/>
      </c>
      <c r="E16" s="6">
        <f>E13-E15</f>
        <v/>
      </c>
      <c r="F16" s="6">
        <f>F13-F15</f>
        <v/>
      </c>
      <c r="G16" s="6">
        <f>G13-G15</f>
        <v/>
      </c>
      <c r="H16" s="6">
        <f>H13-H15</f>
        <v/>
      </c>
    </row>
    <row r="17">
      <c r="B17" t="inlineStr">
        <is>
          <t>Taxes</t>
        </is>
      </c>
      <c r="C17" s="6">
        <f>MAX(0,C16*tax_rate)</f>
        <v/>
      </c>
      <c r="D17" s="6">
        <f>MAX(0,D16*tax_rate)</f>
        <v/>
      </c>
      <c r="E17" s="6">
        <f>MAX(0,E16*tax_rate)</f>
        <v/>
      </c>
      <c r="F17" s="6">
        <f>MAX(0,F16*tax_rate)</f>
        <v/>
      </c>
      <c r="G17" s="6">
        <f>MAX(0,G16*tax_rate)</f>
        <v/>
      </c>
      <c r="H17" s="6">
        <f>MAX(0,H16*tax_rate)</f>
        <v/>
      </c>
    </row>
    <row r="18">
      <c r="B18" s="2" t="inlineStr">
        <is>
          <t>Net Income</t>
        </is>
      </c>
      <c r="C18" s="10">
        <f>C16-C17</f>
        <v/>
      </c>
      <c r="D18" s="10">
        <f>D16-D17</f>
        <v/>
      </c>
      <c r="E18" s="10">
        <f>E16-E17</f>
        <v/>
      </c>
      <c r="F18" s="10">
        <f>F16-F17</f>
        <v/>
      </c>
      <c r="G18" s="10">
        <f>G16-G17</f>
        <v/>
      </c>
      <c r="H18" s="10">
        <f>H16-H17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Debt Schedule</t>
        </is>
      </c>
    </row>
    <row r="4">
      <c r="B4" s="2" t="inlineStr">
        <is>
          <t>Fiscal Year</t>
        </is>
      </c>
      <c r="C4" s="11" t="inlineStr">
        <is>
          <t>Entry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</row>
    <row r="6">
      <c r="B6" s="12" t="inlineStr">
        <is>
          <t>Senior Debt</t>
        </is>
      </c>
    </row>
    <row r="7">
      <c r="B7" t="inlineStr">
        <is>
          <t>Beginning Balance</t>
        </is>
      </c>
      <c r="C7" s="6">
        <f>senior_multiple*1000</f>
        <v/>
      </c>
      <c r="D7" s="6">
        <f>C10</f>
        <v/>
      </c>
      <c r="E7" s="6">
        <f>D10</f>
        <v/>
      </c>
      <c r="F7" s="6">
        <f>E10</f>
        <v/>
      </c>
      <c r="G7" s="6">
        <f>F10</f>
        <v/>
      </c>
      <c r="H7" s="6">
        <f>G10</f>
        <v/>
      </c>
    </row>
    <row r="8">
      <c r="B8" t="inlineStr">
        <is>
          <t>Mandatory Amortization</t>
        </is>
      </c>
      <c r="C8" t="n">
        <v>0</v>
      </c>
      <c r="D8" s="6">
        <f>-C7/senior_amort</f>
        <v/>
      </c>
      <c r="E8" s="6">
        <f>-C7/senior_amort</f>
        <v/>
      </c>
      <c r="F8" s="6">
        <f>-C7/senior_amort</f>
        <v/>
      </c>
      <c r="G8" s="6">
        <f>-C7/senior_amort</f>
        <v/>
      </c>
      <c r="H8" s="6">
        <f>-C7/senior_amort</f>
        <v/>
      </c>
    </row>
    <row r="9">
      <c r="B9" t="inlineStr">
        <is>
          <t>Optional Prepayment</t>
        </is>
      </c>
      <c r="C9" s="6" t="n">
        <v>0</v>
      </c>
      <c r="D9" s="6">
        <f>-MIN(D7+D8,MAX(0,Cash_Flow!D$40))</f>
        <v/>
      </c>
      <c r="E9" s="6">
        <f>-MIN(E7+E8,MAX(0,Cash_Flow!E$40))</f>
        <v/>
      </c>
      <c r="F9" s="6">
        <f>-MIN(F7+F8,MAX(0,Cash_Flow!F$40))</f>
        <v/>
      </c>
      <c r="G9" s="6">
        <f>-MIN(G7+G8,MAX(0,Cash_Flow!G$40))</f>
        <v/>
      </c>
      <c r="H9" s="6">
        <f>-MIN(H7+H8,MAX(0,Cash_Flow!H$40))</f>
        <v/>
      </c>
    </row>
    <row r="10">
      <c r="B10" s="2" t="inlineStr">
        <is>
          <t>Ending Balance</t>
        </is>
      </c>
      <c r="C10" s="10">
        <f>MAX(0,C7+C8+C9)</f>
        <v/>
      </c>
      <c r="D10" s="10">
        <f>MAX(0,D7+D8+D9)</f>
        <v/>
      </c>
      <c r="E10" s="10">
        <f>MAX(0,E7+E8+E9)</f>
        <v/>
      </c>
      <c r="F10" s="10">
        <f>MAX(0,F7+F8+F9)</f>
        <v/>
      </c>
      <c r="G10" s="10">
        <f>MAX(0,G7+G8+G9)</f>
        <v/>
      </c>
      <c r="H10" s="10">
        <f>MAX(0,H7+H8+H9)</f>
        <v/>
      </c>
    </row>
    <row r="11">
      <c r="B11" t="inlineStr">
        <is>
          <t>Interest Expense</t>
        </is>
      </c>
      <c r="C11" s="6">
        <f>C7*senior_rate</f>
        <v/>
      </c>
      <c r="D11" s="6">
        <f>D7*senior_rate</f>
        <v/>
      </c>
      <c r="E11" s="6">
        <f>E7*senior_rate</f>
        <v/>
      </c>
      <c r="F11" s="6">
        <f>F7*senior_rate</f>
        <v/>
      </c>
      <c r="G11" s="6">
        <f>G7*senior_rate</f>
        <v/>
      </c>
      <c r="H11" s="6">
        <f>H7*senior_rate</f>
        <v/>
      </c>
    </row>
    <row r="14">
      <c r="B14" s="13" t="inlineStr">
        <is>
          <t>Mezzanine Debt</t>
        </is>
      </c>
    </row>
    <row r="15">
      <c r="B15" t="inlineStr">
        <is>
          <t>Beginning Balance</t>
        </is>
      </c>
      <c r="C15" s="6">
        <f>mezz_multiple*1000</f>
        <v/>
      </c>
      <c r="D15" s="6">
        <f>C17</f>
        <v/>
      </c>
      <c r="E15" s="6">
        <f>D17</f>
        <v/>
      </c>
      <c r="F15" s="6">
        <f>E17</f>
        <v/>
      </c>
      <c r="G15" s="6">
        <f>F17</f>
        <v/>
      </c>
      <c r="H15" s="6">
        <f>G17</f>
        <v/>
      </c>
    </row>
    <row r="16">
      <c r="B16" t="inlineStr">
        <is>
          <t>PIK Interest</t>
        </is>
      </c>
      <c r="C16" s="6">
        <f>C15*mezz_pik</f>
        <v/>
      </c>
      <c r="D16" s="6">
        <f>D15*mezz_pik</f>
        <v/>
      </c>
      <c r="E16" s="6">
        <f>E15*mezz_pik</f>
        <v/>
      </c>
      <c r="F16" s="6">
        <f>F15*mezz_pik</f>
        <v/>
      </c>
      <c r="G16" s="6">
        <f>G15*mezz_pik</f>
        <v/>
      </c>
      <c r="H16" s="6">
        <f>H15*mezz_pik</f>
        <v/>
      </c>
    </row>
    <row r="17">
      <c r="B17" s="2" t="inlineStr">
        <is>
          <t>Ending Balance</t>
        </is>
      </c>
      <c r="C17" s="10">
        <f>C15+C16</f>
        <v/>
      </c>
      <c r="D17" s="10">
        <f>D15+D16</f>
        <v/>
      </c>
      <c r="E17" s="10">
        <f>E15+E16</f>
        <v/>
      </c>
      <c r="F17" s="10">
        <f>F15+F16</f>
        <v/>
      </c>
      <c r="G17" s="10">
        <f>G15+G16</f>
        <v/>
      </c>
      <c r="H17" s="10">
        <f>H15+H16</f>
        <v/>
      </c>
    </row>
    <row r="18">
      <c r="B18" t="inlineStr">
        <is>
          <t>Cash Interest</t>
        </is>
      </c>
      <c r="C18" s="6">
        <f>C15*mezz_rate</f>
        <v/>
      </c>
      <c r="D18" s="6">
        <f>D15*mezz_rate</f>
        <v/>
      </c>
      <c r="E18" s="6">
        <f>E15*mezz_rate</f>
        <v/>
      </c>
      <c r="F18" s="6">
        <f>F15*mezz_rate</f>
        <v/>
      </c>
      <c r="G18" s="6">
        <f>G15*mezz_rate</f>
        <v/>
      </c>
      <c r="H18" s="6">
        <f>H15*mezz_rate</f>
        <v/>
      </c>
    </row>
    <row r="21">
      <c r="B21" s="14" t="inlineStr">
        <is>
          <t>Subordinated Debt</t>
        </is>
      </c>
    </row>
    <row r="22">
      <c r="B22" t="inlineStr">
        <is>
          <t>Beginning Balance</t>
        </is>
      </c>
      <c r="C22" s="6">
        <f>sub_multiple*1000</f>
        <v/>
      </c>
      <c r="D22" s="6">
        <f>C23</f>
        <v/>
      </c>
      <c r="E22" s="6">
        <f>D23</f>
        <v/>
      </c>
      <c r="F22" s="6">
        <f>E23</f>
        <v/>
      </c>
      <c r="G22" s="6">
        <f>F23</f>
        <v/>
      </c>
      <c r="H22" s="6">
        <f>G23</f>
        <v/>
      </c>
    </row>
    <row r="23">
      <c r="B23" s="2" t="inlineStr">
        <is>
          <t>Ending Balance</t>
        </is>
      </c>
      <c r="C23" s="10">
        <f>C22</f>
        <v/>
      </c>
      <c r="D23" s="10">
        <f>D22</f>
        <v/>
      </c>
      <c r="E23" s="10">
        <f>E22</f>
        <v/>
      </c>
      <c r="F23" s="10">
        <f>F22</f>
        <v/>
      </c>
      <c r="G23" s="10">
        <f>G22</f>
        <v/>
      </c>
      <c r="H23" s="10">
        <f>H22</f>
        <v/>
      </c>
    </row>
    <row r="24">
      <c r="B24" t="inlineStr">
        <is>
          <t>Interest Expense</t>
        </is>
      </c>
      <c r="C24" s="6">
        <f>C22*sub_rate</f>
        <v/>
      </c>
      <c r="D24" s="6">
        <f>D22*sub_rate</f>
        <v/>
      </c>
      <c r="E24" s="6">
        <f>E22*sub_rate</f>
        <v/>
      </c>
      <c r="F24" s="6">
        <f>F22*sub_rate</f>
        <v/>
      </c>
      <c r="G24" s="6">
        <f>G22*sub_rate</f>
        <v/>
      </c>
      <c r="H24" s="6">
        <f>H22*sub_rate</f>
        <v/>
      </c>
    </row>
    <row r="27">
      <c r="B27" s="4" t="inlineStr">
        <is>
          <t>Total Debt Summary</t>
        </is>
      </c>
    </row>
    <row r="28">
      <c r="B28" s="2" t="inlineStr">
        <is>
          <t>Total Debt</t>
        </is>
      </c>
      <c r="C28" s="10">
        <f>C10+C17+C23</f>
        <v/>
      </c>
      <c r="D28" s="10">
        <f>D10+D17+D23</f>
        <v/>
      </c>
      <c r="E28" s="10">
        <f>E10+E17+E23</f>
        <v/>
      </c>
      <c r="F28" s="10">
        <f>F10+F17+F23</f>
        <v/>
      </c>
      <c r="G28" s="10">
        <f>G10+G17+G23</f>
        <v/>
      </c>
      <c r="H28" s="10">
        <f>H10+H17+H23</f>
        <v/>
      </c>
    </row>
    <row r="50">
      <c r="B50" s="2" t="inlineStr">
        <is>
          <t>Total Interest Expense</t>
        </is>
      </c>
      <c r="C50" s="6">
        <f>C11+C18+C24</f>
        <v/>
      </c>
      <c r="D50" s="6">
        <f>D11+D18+D24</f>
        <v/>
      </c>
      <c r="E50" s="6">
        <f>E11+E18+E24</f>
        <v/>
      </c>
      <c r="F50" s="6">
        <f>F11+F18+F24</f>
        <v/>
      </c>
      <c r="G50" s="6">
        <f>G11+G18+G24</f>
        <v/>
      </c>
      <c r="H50" s="6">
        <f>H11+H18+H24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Cash Flow Statement</t>
        </is>
      </c>
    </row>
    <row r="4">
      <c r="B4" s="2" t="inlineStr">
        <is>
          <t>Fiscal Year</t>
        </is>
      </c>
      <c r="C4" s="11" t="inlineStr">
        <is>
          <t>Entry</t>
        </is>
      </c>
      <c r="D4" s="11" t="inlineStr">
        <is>
          <t>Year 1</t>
        </is>
      </c>
      <c r="E4" s="11" t="inlineStr">
        <is>
          <t>Year 2</t>
        </is>
      </c>
      <c r="F4" s="11" t="inlineStr">
        <is>
          <t>Year 3</t>
        </is>
      </c>
      <c r="G4" s="11" t="inlineStr">
        <is>
          <t>Year 4</t>
        </is>
      </c>
      <c r="H4" s="11" t="inlineStr">
        <is>
          <t>Year 5</t>
        </is>
      </c>
    </row>
    <row r="6">
      <c r="B6" s="2" t="inlineStr">
        <is>
          <t>EBITDA</t>
        </is>
      </c>
      <c r="C6" s="6">
        <f>Operating!C$10</f>
        <v/>
      </c>
      <c r="D6" s="6">
        <f>Operating!D$10</f>
        <v/>
      </c>
      <c r="E6" s="6">
        <f>Operating!E$10</f>
        <v/>
      </c>
      <c r="F6" s="6">
        <f>Operating!F$10</f>
        <v/>
      </c>
      <c r="G6" s="6">
        <f>Operating!G$10</f>
        <v/>
      </c>
      <c r="H6" s="6">
        <f>Operating!H$10</f>
        <v/>
      </c>
    </row>
    <row r="7">
      <c r="B7" t="inlineStr">
        <is>
          <t>Less: Cash Interest</t>
        </is>
      </c>
      <c r="C7" s="6">
        <f>-Debt_Schedule!C$50</f>
        <v/>
      </c>
      <c r="D7" s="6">
        <f>-Debt_Schedule!D$50</f>
        <v/>
      </c>
      <c r="E7" s="6">
        <f>-Debt_Schedule!E$50</f>
        <v/>
      </c>
      <c r="F7" s="6">
        <f>-Debt_Schedule!F$50</f>
        <v/>
      </c>
      <c r="G7" s="6">
        <f>-Debt_Schedule!G$50</f>
        <v/>
      </c>
      <c r="H7" s="6">
        <f>-Debt_Schedule!H$50</f>
        <v/>
      </c>
    </row>
    <row r="8">
      <c r="B8" t="inlineStr">
        <is>
          <t>Less: Cash Taxes</t>
        </is>
      </c>
      <c r="C8" s="6">
        <f>-MAX(0,(C6+C7)*tax_rate)</f>
        <v/>
      </c>
      <c r="D8" s="6">
        <f>-MAX(0,(D6+D7)*tax_rate)</f>
        <v/>
      </c>
      <c r="E8" s="6">
        <f>-MAX(0,(E6+E7)*tax_rate)</f>
        <v/>
      </c>
      <c r="F8" s="6">
        <f>-MAX(0,(F6+F7)*tax_rate)</f>
        <v/>
      </c>
      <c r="G8" s="6">
        <f>-MAX(0,(G6+G7)*tax_rate)</f>
        <v/>
      </c>
      <c r="H8" s="6">
        <f>-MAX(0,(H6+H7)*tax_rate)</f>
        <v/>
      </c>
    </row>
    <row r="9">
      <c r="B9" t="inlineStr">
        <is>
          <t>Less: CapEx</t>
        </is>
      </c>
      <c r="C9" s="6">
        <f>-Operating!C$6*capex_pct</f>
        <v/>
      </c>
      <c r="D9" s="6">
        <f>-Operating!D$6*capex_pct</f>
        <v/>
      </c>
      <c r="E9" s="6">
        <f>-Operating!E$6*capex_pct</f>
        <v/>
      </c>
      <c r="F9" s="6">
        <f>-Operating!F$6*capex_pct</f>
        <v/>
      </c>
      <c r="G9" s="6">
        <f>-Operating!G$6*capex_pct</f>
        <v/>
      </c>
      <c r="H9" s="6">
        <f>-Operating!H$6*capex_pct</f>
        <v/>
      </c>
    </row>
    <row r="10">
      <c r="B10" t="inlineStr">
        <is>
          <t>Less: Change in NWC</t>
        </is>
      </c>
      <c r="C10" s="6" t="n">
        <v>0</v>
      </c>
      <c r="D10" s="6">
        <f>-(Operating!D$6-Operating!C$6)*nwc_pct</f>
        <v/>
      </c>
      <c r="E10" s="6">
        <f>-(Operating!E$6-Operating!D$6)*nwc_pct</f>
        <v/>
      </c>
      <c r="F10" s="6">
        <f>-(Operating!F$6-Operating!E$6)*nwc_pct</f>
        <v/>
      </c>
      <c r="G10" s="6">
        <f>-(Operating!G$6-Operating!F$6)*nwc_pct</f>
        <v/>
      </c>
      <c r="H10" s="6">
        <f>-(Operating!H$6-Operating!G$6)*nwc_pct</f>
        <v/>
      </c>
    </row>
    <row r="12">
      <c r="B12" s="2" t="inlineStr">
        <is>
          <t>Free Cash Flow</t>
        </is>
      </c>
      <c r="C12" s="10">
        <f>SUM(C6:C10)</f>
        <v/>
      </c>
      <c r="D12" s="10">
        <f>SUM(D6:D10)</f>
        <v/>
      </c>
      <c r="E12" s="10">
        <f>SUM(E6:E10)</f>
        <v/>
      </c>
      <c r="F12" s="10">
        <f>SUM(F6:F10)</f>
        <v/>
      </c>
      <c r="G12" s="10">
        <f>SUM(G6:G10)</f>
        <v/>
      </c>
      <c r="H12" s="10">
        <f>SUM(H6:H10)</f>
        <v/>
      </c>
    </row>
    <row r="14">
      <c r="B14" t="inlineStr">
        <is>
          <t>Less: Mandatory Debt Amortization</t>
        </is>
      </c>
      <c r="C14" s="6">
        <f>Debt_Schedule!C$8</f>
        <v/>
      </c>
      <c r="D14" s="6">
        <f>Debt_Schedule!D$8</f>
        <v/>
      </c>
      <c r="E14" s="6">
        <f>Debt_Schedule!E$8</f>
        <v/>
      </c>
      <c r="F14" s="6">
        <f>Debt_Schedule!F$8</f>
        <v/>
      </c>
      <c r="G14" s="6">
        <f>Debt_Schedule!G$8</f>
        <v/>
      </c>
      <c r="H14" s="6">
        <f>Debt_Schedule!H$8</f>
        <v/>
      </c>
    </row>
    <row r="40">
      <c r="B40" s="2" t="inlineStr">
        <is>
          <t>Cash Available for Sweep</t>
        </is>
      </c>
      <c r="C40" s="10">
        <f>C12+C14</f>
        <v/>
      </c>
      <c r="D40" s="10">
        <f>D12+D14</f>
        <v/>
      </c>
      <c r="E40" s="10">
        <f>E12+E14</f>
        <v/>
      </c>
      <c r="F40" s="10">
        <f>F12+F14</f>
        <v/>
      </c>
      <c r="G40" s="10">
        <f>G12+G14</f>
        <v/>
      </c>
      <c r="H40" s="10">
        <f>H12+H14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3" max="3"/>
    <col width="12" customWidth="1" min="4" max="4"/>
  </cols>
  <sheetData>
    <row r="1" ht="25" customHeight="1">
      <c r="A1" s="1" t="inlineStr">
        <is>
          <t>Returns Analysis</t>
        </is>
      </c>
    </row>
    <row r="4">
      <c r="B4" s="4" t="inlineStr">
        <is>
          <t>Exit Analysis</t>
        </is>
      </c>
    </row>
    <row r="5">
      <c r="B5" t="inlineStr">
        <is>
          <t>Exit Year EBITDA</t>
        </is>
      </c>
      <c r="C5" s="6">
        <f>Operating!H$10</f>
        <v/>
      </c>
    </row>
    <row r="6">
      <c r="B6" t="inlineStr">
        <is>
          <t>Exit EV/EBITDA Multiple</t>
        </is>
      </c>
      <c r="C6" s="9">
        <f>exit_multiple</f>
        <v/>
      </c>
    </row>
    <row r="7">
      <c r="B7" t="inlineStr">
        <is>
          <t>Exit Enterprise Value</t>
        </is>
      </c>
      <c r="C7" s="8">
        <f>C5*exit_multiple</f>
        <v/>
      </c>
    </row>
    <row r="8">
      <c r="B8" t="inlineStr">
        <is>
          <t>Less: Debt at Exit</t>
        </is>
      </c>
      <c r="C8" s="6">
        <f>-Debt_Schedule!H$45</f>
        <v/>
      </c>
    </row>
    <row r="9">
      <c r="B9" t="inlineStr">
        <is>
          <t>Exit Equity Value</t>
        </is>
      </c>
      <c r="C9" s="10">
        <f>C7+C8</f>
        <v/>
      </c>
    </row>
    <row r="12">
      <c r="B12" s="15" t="inlineStr">
        <is>
          <t>Returns Summary</t>
        </is>
      </c>
    </row>
    <row r="13">
      <c r="B13" t="inlineStr">
        <is>
          <t>Initial Sponsor Equity</t>
        </is>
      </c>
      <c r="C13" s="6">
        <f>sponsor_equity</f>
        <v/>
      </c>
    </row>
    <row r="14">
      <c r="B14" t="inlineStr">
        <is>
          <t>Exit Equity Proceeds</t>
        </is>
      </c>
      <c r="C14" s="6">
        <f>C9</f>
        <v/>
      </c>
    </row>
    <row r="16">
      <c r="B16" t="inlineStr">
        <is>
          <t>Multiple on Invested Capital (MoIC)</t>
        </is>
      </c>
      <c r="C16" s="16">
        <f>C9/C13</f>
        <v/>
      </c>
    </row>
    <row r="17">
      <c r="B17" t="inlineStr">
        <is>
          <t>Internal Rate of Return (IRR)</t>
        </is>
      </c>
      <c r="C17" s="16">
        <f>IRR({-C13,0,0,0,0,C9})</f>
        <v/>
      </c>
    </row>
    <row r="18">
      <c r="B18" t="inlineStr">
        <is>
          <t>Payback Period (Years)</t>
        </is>
      </c>
      <c r="C18" s="17">
        <f>holding_period/LN(C16)*LN(2)</f>
        <v/>
      </c>
    </row>
    <row r="21">
      <c r="B21" s="4" t="inlineStr">
        <is>
          <t>Cash-on-Cash Return by Exit Year</t>
        </is>
      </c>
    </row>
    <row r="22">
      <c r="B22" t="inlineStr">
        <is>
          <t>Exit Year</t>
        </is>
      </c>
      <c r="C22" s="2" t="inlineStr">
        <is>
          <t>MoIC</t>
        </is>
      </c>
      <c r="D22" s="2" t="inlineStr">
        <is>
          <t>IRR</t>
        </is>
      </c>
    </row>
    <row r="23">
      <c r="B23" t="inlineStr">
        <is>
          <t>Year 1</t>
        </is>
      </c>
      <c r="C23" s="9">
        <f>(Operating!D$10*exit_multiple-Debt_Schedule!D$45)/sponsor_equity</f>
        <v/>
      </c>
      <c r="D23" s="7">
        <f>C23^(1/1)-1</f>
        <v/>
      </c>
    </row>
    <row r="24">
      <c r="B24" t="inlineStr">
        <is>
          <t>Year 2</t>
        </is>
      </c>
      <c r="C24" s="9">
        <f>(Operating!E$10*exit_multiple-Debt_Schedule!E$45)/sponsor_equity</f>
        <v/>
      </c>
      <c r="D24" s="7">
        <f>C24^(1/2)-1</f>
        <v/>
      </c>
    </row>
    <row r="25">
      <c r="B25" t="inlineStr">
        <is>
          <t>Year 3</t>
        </is>
      </c>
      <c r="C25" s="9">
        <f>(Operating!F$10*exit_multiple-Debt_Schedule!F$45)/sponsor_equity</f>
        <v/>
      </c>
      <c r="D25" s="7">
        <f>C25^(1/3)-1</f>
        <v/>
      </c>
    </row>
    <row r="26">
      <c r="B26" t="inlineStr">
        <is>
          <t>Year 4</t>
        </is>
      </c>
      <c r="C26" s="9">
        <f>(Operating!G$10*exit_multiple-Debt_Schedule!G$45)/sponsor_equity</f>
        <v/>
      </c>
      <c r="D26" s="7">
        <f>C26^(1/4)-1</f>
        <v/>
      </c>
    </row>
    <row r="27">
      <c r="B27" t="inlineStr">
        <is>
          <t>Year 5</t>
        </is>
      </c>
      <c r="C27" s="9">
        <f>(Operating!H$10*exit_multiple-Debt_Schedule!H$45)/sponsor_equity</f>
        <v/>
      </c>
      <c r="D27" s="7">
        <f>C27^(1/5)-1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5" customHeight="1">
      <c r="A1" s="1" t="inlineStr">
        <is>
          <t>Sensitivity Analysis</t>
        </is>
      </c>
    </row>
    <row r="4">
      <c r="B4" s="4" t="inlineStr">
        <is>
          <t>IRR Sensitivity: Exit Multiple vs Entry Multiple</t>
        </is>
      </c>
    </row>
    <row r="6">
      <c r="B6" t="inlineStr">
        <is>
          <t>IRR</t>
        </is>
      </c>
      <c r="C6" s="11" t="inlineStr">
        <is>
          <t>6.0x</t>
        </is>
      </c>
      <c r="D6" s="11" t="inlineStr">
        <is>
          <t>7.0x</t>
        </is>
      </c>
      <c r="E6" s="11" t="inlineStr">
        <is>
          <t>8.0x</t>
        </is>
      </c>
      <c r="F6" s="11" t="inlineStr">
        <is>
          <t>9.0x</t>
        </is>
      </c>
      <c r="G6" s="11" t="inlineStr">
        <is>
          <t>10.0x</t>
        </is>
      </c>
      <c r="H6" s="11" t="inlineStr">
        <is>
          <t>11.0x</t>
        </is>
      </c>
    </row>
    <row r="7">
      <c r="B7" s="2" t="inlineStr">
        <is>
          <t>6.0x Entry</t>
        </is>
      </c>
      <c r="C7" s="7">
        <f>(((6.0*1000*(1+rev_growth)^5)/((6.0*1000)*0.4))^(1/5)-1)</f>
        <v/>
      </c>
      <c r="D7" s="7">
        <f>(((7.0*1000*(1+rev_growth)^5)/((6.0*1000)*0.4))^(1/5)-1)</f>
        <v/>
      </c>
      <c r="E7" s="7">
        <f>(((8.0*1000*(1+rev_growth)^5)/((6.0*1000)*0.4))^(1/5)-1)</f>
        <v/>
      </c>
      <c r="F7" s="7">
        <f>(((9.0*1000*(1+rev_growth)^5)/((6.0*1000)*0.4))^(1/5)-1)</f>
        <v/>
      </c>
      <c r="G7" s="7">
        <f>(((10.0*1000*(1+rev_growth)^5)/((6.0*1000)*0.4))^(1/5)-1)</f>
        <v/>
      </c>
      <c r="H7" s="7">
        <f>(((11.0*1000*(1+rev_growth)^5)/((6.0*1000)*0.4))^(1/5)-1)</f>
        <v/>
      </c>
    </row>
    <row r="8">
      <c r="B8" s="2" t="inlineStr">
        <is>
          <t>7.0x Entry</t>
        </is>
      </c>
      <c r="C8" s="7">
        <f>(((6.0*1000*(1+rev_growth)^5)/((7.0*1000)*0.4))^(1/5)-1)</f>
        <v/>
      </c>
      <c r="D8" s="7">
        <f>(((7.0*1000*(1+rev_growth)^5)/((7.0*1000)*0.4))^(1/5)-1)</f>
        <v/>
      </c>
      <c r="E8" s="7">
        <f>(((8.0*1000*(1+rev_growth)^5)/((7.0*1000)*0.4))^(1/5)-1)</f>
        <v/>
      </c>
      <c r="F8" s="7">
        <f>(((9.0*1000*(1+rev_growth)^5)/((7.0*1000)*0.4))^(1/5)-1)</f>
        <v/>
      </c>
      <c r="G8" s="7">
        <f>(((10.0*1000*(1+rev_growth)^5)/((7.0*1000)*0.4))^(1/5)-1)</f>
        <v/>
      </c>
      <c r="H8" s="7">
        <f>(((11.0*1000*(1+rev_growth)^5)/((7.0*1000)*0.4))^(1/5)-1)</f>
        <v/>
      </c>
    </row>
    <row r="9">
      <c r="B9" s="2" t="inlineStr">
        <is>
          <t>8.0x Entry</t>
        </is>
      </c>
      <c r="C9" s="7">
        <f>(((6.0*1000*(1+rev_growth)^5)/((8.0*1000)*0.4))^(1/5)-1)</f>
        <v/>
      </c>
      <c r="D9" s="7">
        <f>(((7.0*1000*(1+rev_growth)^5)/((8.0*1000)*0.4))^(1/5)-1)</f>
        <v/>
      </c>
      <c r="E9" s="7">
        <f>(((8.0*1000*(1+rev_growth)^5)/((8.0*1000)*0.4))^(1/5)-1)</f>
        <v/>
      </c>
      <c r="F9" s="7">
        <f>(((9.0*1000*(1+rev_growth)^5)/((8.0*1000)*0.4))^(1/5)-1)</f>
        <v/>
      </c>
      <c r="G9" s="7">
        <f>(((10.0*1000*(1+rev_growth)^5)/((8.0*1000)*0.4))^(1/5)-1)</f>
        <v/>
      </c>
      <c r="H9" s="7">
        <f>(((11.0*1000*(1+rev_growth)^5)/((8.0*1000)*0.4))^(1/5)-1)</f>
        <v/>
      </c>
    </row>
    <row r="10">
      <c r="B10" s="2" t="inlineStr">
        <is>
          <t>9.0x Entry</t>
        </is>
      </c>
      <c r="C10" s="7">
        <f>(((6.0*1000*(1+rev_growth)^5)/((9.0*1000)*0.4))^(1/5)-1)</f>
        <v/>
      </c>
      <c r="D10" s="7">
        <f>(((7.0*1000*(1+rev_growth)^5)/((9.0*1000)*0.4))^(1/5)-1)</f>
        <v/>
      </c>
      <c r="E10" s="7">
        <f>(((8.0*1000*(1+rev_growth)^5)/((9.0*1000)*0.4))^(1/5)-1)</f>
        <v/>
      </c>
      <c r="F10" s="7">
        <f>(((9.0*1000*(1+rev_growth)^5)/((9.0*1000)*0.4))^(1/5)-1)</f>
        <v/>
      </c>
      <c r="G10" s="7">
        <f>(((10.0*1000*(1+rev_growth)^5)/((9.0*1000)*0.4))^(1/5)-1)</f>
        <v/>
      </c>
      <c r="H10" s="7">
        <f>(((11.0*1000*(1+rev_growth)^5)/((9.0*1000)*0.4))^(1/5)-1)</f>
        <v/>
      </c>
    </row>
    <row r="11">
      <c r="B11" s="2" t="inlineStr">
        <is>
          <t>10.0x Entry</t>
        </is>
      </c>
      <c r="C11" s="7">
        <f>(((6.0*1000*(1+rev_growth)^5)/((10.0*1000)*0.4))^(1/5)-1)</f>
        <v/>
      </c>
      <c r="D11" s="7">
        <f>(((7.0*1000*(1+rev_growth)^5)/((10.0*1000)*0.4))^(1/5)-1)</f>
        <v/>
      </c>
      <c r="E11" s="7">
        <f>(((8.0*1000*(1+rev_growth)^5)/((10.0*1000)*0.4))^(1/5)-1)</f>
        <v/>
      </c>
      <c r="F11" s="7">
        <f>(((9.0*1000*(1+rev_growth)^5)/((10.0*1000)*0.4))^(1/5)-1)</f>
        <v/>
      </c>
      <c r="G11" s="7">
        <f>(((10.0*1000*(1+rev_growth)^5)/((10.0*1000)*0.4))^(1/5)-1)</f>
        <v/>
      </c>
      <c r="H11" s="7">
        <f>(((11.0*1000*(1+rev_growth)^5)/((10.0*1000)*0.4))^(1/5)-1)</f>
        <v/>
      </c>
    </row>
    <row r="15">
      <c r="B15" s="4" t="inlineStr">
        <is>
          <t>MoIC Sensitivity: Exit Multiple vs Leverage</t>
        </is>
      </c>
    </row>
    <row r="17">
      <c r="B17" t="inlineStr">
        <is>
          <t>MoIC</t>
        </is>
      </c>
      <c r="C17" s="11" t="inlineStr">
        <is>
          <t>6.0x Exit</t>
        </is>
      </c>
      <c r="D17" s="11" t="inlineStr">
        <is>
          <t>7.0x Exit</t>
        </is>
      </c>
      <c r="E17" s="11" t="inlineStr">
        <is>
          <t>8.0x Exit</t>
        </is>
      </c>
      <c r="F17" s="11" t="inlineStr">
        <is>
          <t>9.0x Exit</t>
        </is>
      </c>
      <c r="G17" s="11" t="inlineStr">
        <is>
          <t>10.0x Exit</t>
        </is>
      </c>
      <c r="H17" s="11" t="inlineStr">
        <is>
          <t>11.0x Exit</t>
        </is>
      </c>
    </row>
    <row r="18">
      <c r="B18" s="2" t="inlineStr">
        <is>
          <t>3.0x Leverage</t>
        </is>
      </c>
      <c r="C18" s="9">
        <f>(8815.968460800003-3000.0*0.7)/5000.0</f>
        <v/>
      </c>
      <c r="D18" s="9">
        <f>(10285.296537600005-3000.0*0.7)/5000.0</f>
        <v/>
      </c>
      <c r="E18" s="9">
        <f>(11754.624614400005-3000.0*0.7)/5000.0</f>
        <v/>
      </c>
      <c r="F18" s="9">
        <f>(13223.952691200006-3000.0*0.7)/5000.0</f>
        <v/>
      </c>
      <c r="G18" s="9">
        <f>(14693.280768000006-3000.0*0.7)/5000.0</f>
        <v/>
      </c>
      <c r="H18" s="9">
        <f>(16162.608844800006-3000.0*0.7)/5000.0</f>
        <v/>
      </c>
    </row>
    <row r="19">
      <c r="B19" s="2" t="inlineStr">
        <is>
          <t>4.0x Leverage</t>
        </is>
      </c>
      <c r="C19" s="9">
        <f>(8815.968460800003-4000.0*0.7)/4000.0</f>
        <v/>
      </c>
      <c r="D19" s="9">
        <f>(10285.296537600005-4000.0*0.7)/4000.0</f>
        <v/>
      </c>
      <c r="E19" s="9">
        <f>(11754.624614400005-4000.0*0.7)/4000.0</f>
        <v/>
      </c>
      <c r="F19" s="9">
        <f>(13223.952691200006-4000.0*0.7)/4000.0</f>
        <v/>
      </c>
      <c r="G19" s="9">
        <f>(14693.280768000006-4000.0*0.7)/4000.0</f>
        <v/>
      </c>
      <c r="H19" s="9">
        <f>(16162.608844800006-4000.0*0.7)/4000.0</f>
        <v/>
      </c>
    </row>
    <row r="20">
      <c r="B20" s="2" t="inlineStr">
        <is>
          <t>5.0x Leverage</t>
        </is>
      </c>
      <c r="C20" s="9">
        <f>(8815.968460800003-5000.0*0.7)/3000.0</f>
        <v/>
      </c>
      <c r="D20" s="9">
        <f>(10285.296537600005-5000.0*0.7)/3000.0</f>
        <v/>
      </c>
      <c r="E20" s="9">
        <f>(11754.624614400005-5000.0*0.7)/3000.0</f>
        <v/>
      </c>
      <c r="F20" s="9">
        <f>(13223.952691200006-5000.0*0.7)/3000.0</f>
        <v/>
      </c>
      <c r="G20" s="9">
        <f>(14693.280768000006-5000.0*0.7)/3000.0</f>
        <v/>
      </c>
      <c r="H20" s="9">
        <f>(16162.608844800006-5000.0*0.7)/3000.0</f>
        <v/>
      </c>
    </row>
    <row r="21">
      <c r="B21" s="2" t="inlineStr">
        <is>
          <t>6.0x Leverage</t>
        </is>
      </c>
      <c r="C21" s="9">
        <f>(8815.968460800003-6000.0*0.7)/2000.0</f>
        <v/>
      </c>
      <c r="D21" s="9">
        <f>(10285.296537600005-6000.0*0.7)/2000.0</f>
        <v/>
      </c>
      <c r="E21" s="9">
        <f>(11754.624614400005-6000.0*0.7)/2000.0</f>
        <v/>
      </c>
      <c r="F21" s="9">
        <f>(13223.952691200006-6000.0*0.7)/2000.0</f>
        <v/>
      </c>
      <c r="G21" s="9">
        <f>(14693.280768000006-6000.0*0.7)/2000.0</f>
        <v/>
      </c>
      <c r="H21" s="9">
        <f>(16162.608844800006-6000.0*0.7)/2000.0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2026-01-30T15:24:26Z</dcterms:created>
  <dcterms:modified xmlns:dcterms="http://purl.org/dc/terms/" xmlns:xsi="http://www.w3.org/2001/XMLSchema-instance" xsi:type="dcterms:W3CDTF">2026-01-30T15:24:26Z</dcterms:modified>
</cp:coreProperties>
</file>