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Sensitivity" sheetId="7" state="visible" r:id="rId7"/>
    <sheet xmlns:r="http://schemas.openxmlformats.org/officeDocument/2006/relationships" name="Scenarios" sheetId="8" state="visible" r:id="rId8"/>
    <sheet xmlns:r="http://schemas.openxmlformats.org/officeDocument/2006/relationships" name="Dashboard" sheetId="9" state="visible" r:id="rId9"/>
  </sheets>
  <definedNames>
    <definedName name="Revenue_Growth_Rate">'Assumptions'!$C$7</definedName>
    <definedName name="Volume_Growth">'Assumptions'!$C$8</definedName>
    <definedName name="Price_Inflation">'Assumptions'!$C$9</definedName>
    <definedName name="Gross_Margin">'Assumptions'!$C$12</definedName>
    <definedName name="EBITDA_Margin">'Assumptions'!$C$13</definedName>
    <definedName name="SGAndA_as_Pct_of_Revenue">'Assumptions'!$C$14</definedName>
    <definedName name="Receivable_Days">'Assumptions'!$C$17</definedName>
    <definedName name="Inventory_Days">'Assumptions'!$C$18</definedName>
    <definedName name="Payable_Days">'Assumptions'!$C$19</definedName>
    <definedName name="Capex_Pct_of_Revenue">'Assumptions'!$C$22</definedName>
    <definedName name="DAndA_Pct_of_Gross_PPE">'Assumptions'!$C$23</definedName>
    <definedName name="Cost_of_Debt">'Assumptions'!$C$26</definedName>
    <definedName name="Debt_Equity_Target">'Assumptions'!$C$27</definedName>
    <definedName name="Risk-free_Rate">'Assumptions'!$C$30</definedName>
    <definedName name="Equity_Risk_Premium">'Assumptions'!$C$31</definedName>
    <definedName name="Beta">'Assumptions'!$C$32</definedName>
    <definedName name="Terminal_Growth_Rate">'Assumptions'!$C$33</definedName>
    <definedName name="Tax_Rate">'Assumptions'!$C$34</definedName>
    <definedName name="Shares_Outstanding_(Cr)">'Assumptions'!$C$37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x"/>
    <numFmt numFmtId="166" formatCode="0.000"/>
    <numFmt numFmtId="167" formatCode="#,##0.0"/>
    <numFmt numFmtId="168" formatCode="₹#,##0"/>
  </numFmts>
  <fonts count="14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color rgb="00404040"/>
      <sz val="10"/>
    </font>
    <font>
      <name val="Calibri"/>
      <sz val="10"/>
    </font>
    <font>
      <name val="Calibri"/>
      <b val="1"/>
      <sz val="10"/>
    </font>
    <font>
      <i val="1"/>
      <color rgb="00666666"/>
    </font>
    <font>
      <i val="1"/>
      <color rgb="00666666"/>
      <sz val="9"/>
    </font>
    <font>
      <b val="1"/>
    </font>
    <font>
      <color rgb="00666666"/>
      <sz val="12"/>
    </font>
    <font>
      <i val="1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8">
    <xf numFmtId="0" fontId="0" fillId="0" borderId="0"/>
    <xf numFmtId="0" fontId="1" fillId="0" borderId="1" applyAlignment="1">
      <alignment horizontal="left" vertical="center"/>
    </xf>
    <xf numFmtId="0" fontId="2" fillId="2" borderId="2" applyAlignment="1">
      <alignment horizontal="center" vertical="center"/>
    </xf>
    <xf numFmtId="0" fontId="3" fillId="3" borderId="1" applyAlignment="1">
      <alignment horizontal="left" vertical="center"/>
    </xf>
    <xf numFmtId="0" fontId="4" fillId="4" borderId="3" applyAlignment="1">
      <alignment horizontal="right"/>
    </xf>
    <xf numFmtId="0" fontId="5" fillId="5" borderId="1" applyAlignment="1">
      <alignment horizontal="right"/>
    </xf>
    <xf numFmtId="0" fontId="6" fillId="0" borderId="1" applyAlignment="1">
      <alignment horizontal="left" indent="1"/>
    </xf>
    <xf numFmtId="0" fontId="7" fillId="0" borderId="4" applyAlignment="1">
      <alignment horizontal="right"/>
    </xf>
  </cellStyleXfs>
  <cellXfs count="27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11" fillId="0" borderId="0" pivotButton="0" quotePrefix="0" xfId="0"/>
    <xf numFmtId="0" fontId="12" fillId="0" borderId="0" pivotButton="0" quotePrefix="0" xfId="0"/>
    <xf numFmtId="0" fontId="3" fillId="3" borderId="1" applyAlignment="1" pivotButton="0" quotePrefix="0" xfId="3">
      <alignment horizontal="left" vertical="center"/>
    </xf>
    <xf numFmtId="0" fontId="6" fillId="0" borderId="1" applyAlignment="1" pivotButton="0" quotePrefix="0" xfId="6">
      <alignment horizontal="left" indent="1"/>
    </xf>
    <xf numFmtId="0" fontId="13" fillId="0" borderId="0" pivotButton="0" quotePrefix="0" xfId="0"/>
    <xf numFmtId="168" fontId="5" fillId="5" borderId="1" applyAlignment="1" pivotButton="0" quotePrefix="0" xfId="5">
      <alignment horizontal="right"/>
    </xf>
    <xf numFmtId="3" fontId="5" fillId="5" borderId="1" applyAlignment="1" pivotButton="0" quotePrefix="0" xfId="5">
      <alignment horizontal="right"/>
    </xf>
    <xf numFmtId="164" fontId="5" fillId="5" borderId="1" applyAlignment="1" pivotButton="0" quotePrefix="0" xfId="5">
      <alignment horizontal="right"/>
    </xf>
    <xf numFmtId="0" fontId="8" fillId="0" borderId="0" pivotButton="0" quotePrefix="0" xfId="0"/>
    <xf numFmtId="164" fontId="4" fillId="4" borderId="3" applyAlignment="1" pivotButton="0" quotePrefix="0" xfId="4">
      <alignment horizontal="right"/>
    </xf>
    <xf numFmtId="0" fontId="9" fillId="0" borderId="0" pivotButton="0" quotePrefix="0" xfId="0"/>
    <xf numFmtId="3" fontId="4" fillId="4" borderId="3" applyAlignment="1" pivotButton="0" quotePrefix="0" xfId="4">
      <alignment horizontal="right"/>
    </xf>
    <xf numFmtId="165" fontId="4" fillId="4" borderId="3" applyAlignment="1" pivotButton="0" quotePrefix="0" xfId="4">
      <alignment horizontal="right"/>
    </xf>
    <xf numFmtId="0" fontId="2" fillId="2" borderId="2" applyAlignment="1" pivotButton="0" quotePrefix="0" xfId="2">
      <alignment horizontal="center" vertical="center"/>
    </xf>
    <xf numFmtId="0" fontId="10" fillId="0" borderId="1" applyAlignment="1" pivotButton="0" quotePrefix="0" xfId="6">
      <alignment horizontal="left" indent="1"/>
    </xf>
    <xf numFmtId="3" fontId="0" fillId="0" borderId="0" pivotButton="0" quotePrefix="0" xfId="0"/>
    <xf numFmtId="164" fontId="0" fillId="0" borderId="0" pivotButton="0" quotePrefix="0" xfId="0"/>
    <xf numFmtId="0" fontId="5" fillId="5" borderId="1" applyAlignment="1" pivotButton="0" quotePrefix="0" xfId="5">
      <alignment horizontal="right"/>
    </xf>
    <xf numFmtId="165" fontId="0" fillId="0" borderId="0" pivotButton="0" quotePrefix="0" xfId="0"/>
    <xf numFmtId="166" fontId="0" fillId="0" borderId="0" pivotButton="0" quotePrefix="0" xfId="0"/>
    <xf numFmtId="0" fontId="4" fillId="4" borderId="3" applyAlignment="1" pivotButton="0" quotePrefix="0" xfId="4">
      <alignment horizontal="right"/>
    </xf>
    <xf numFmtId="167" fontId="0" fillId="0" borderId="0" pivotButton="0" quotePrefix="0" xfId="0"/>
    <xf numFmtId="164" fontId="2" fillId="2" borderId="2" applyAlignment="1" pivotButton="0" quotePrefix="0" xfId="2">
      <alignment horizontal="center" vertical="center"/>
    </xf>
    <xf numFmtId="168" fontId="0" fillId="0" borderId="0" pivotButton="0" quotePrefix="0" xfId="0"/>
    <xf numFmtId="168" fontId="4" fillId="4" borderId="3" applyAlignment="1" pivotButton="0" quotePrefix="0" xfId="4">
      <alignment horizontal="right"/>
    </xf>
  </cellXfs>
  <cellStyles count="8">
    <cellStyle name="Normal" xfId="0" builtinId="0" hidden="0"/>
    <cellStyle name="title" xfId="1" hidden="0"/>
    <cellStyle name="header" xfId="2" hidden="0"/>
    <cellStyle name="subheader" xfId="3" hidden="0"/>
    <cellStyle name="input_cell" xfId="4" hidden="0"/>
    <cellStyle name="output_cell" xfId="5" hidden="0"/>
    <cellStyle name="label" xfId="6" hidden="0"/>
    <cellStyle name="total" xfId="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EBITDA (₹ Crores)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numRef>
              <f>'Dashboard'!$C$41:$L$41</f>
            </numRef>
          </cat>
          <val>
            <numRef>
              <f>'Dashboard'!$C$42:$L$42</f>
            </numRef>
          </val>
        </ser>
        <ser>
          <idx val="1"/>
          <order val="1"/>
          <tx>
            <v>EBITDA</v>
          </tx>
          <spPr>
            <a:ln xmlns:a="http://schemas.openxmlformats.org/drawingml/2006/main">
              <a:prstDash val="solid"/>
            </a:ln>
          </spPr>
          <cat>
            <numRef>
              <f>'Dashboard'!$C$41:$L$41</f>
            </numRef>
          </cat>
          <val>
            <numRef>
              <f>'Dashboard'!$C$43:$L$43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EBITDA Margin Trend</a:t>
            </a:r>
          </a:p>
        </rich>
      </tx>
    </title>
    <plotArea>
      <lineChart>
        <grouping val="standard"/>
        <ser>
          <idx val="0"/>
          <order val="0"/>
          <tx>
            <v>EBITDA Margin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'Dashboard'!$C$41:$L$41</f>
            </numRef>
          </cat>
          <val>
            <numRef>
              <f>'Dashboard'!$C$45:$L$45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Income Trend (₹ Crores)</a:t>
            </a:r>
          </a:p>
        </rich>
      </tx>
    </title>
    <plotArea>
      <lineChart>
        <grouping val="standard"/>
        <ser>
          <idx val="0"/>
          <order val="0"/>
          <tx>
            <v>Net Income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'Dashboard'!$C$41:$L$41</f>
            </numRef>
          </cat>
          <val>
            <numRef>
              <f>'Dashboard'!$C$44:$L$44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4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17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Income_Statement'!A1" TargetMode="External" Id="rId3"/><Relationship Type="http://schemas.openxmlformats.org/officeDocument/2006/relationships/hyperlink" Target="#'Balance_Sheet'!A1" TargetMode="External" Id="rId4"/><Relationship Type="http://schemas.openxmlformats.org/officeDocument/2006/relationships/hyperlink" Target="#'Cash_Flow'!A1" TargetMode="External" Id="rId5"/><Relationship Type="http://schemas.openxmlformats.org/officeDocument/2006/relationships/hyperlink" Target="#'Valuation'!A1" TargetMode="External" Id="rId6"/><Relationship Type="http://schemas.openxmlformats.org/officeDocument/2006/relationships/hyperlink" Target="#'Sensitivity'!A1" TargetMode="External" Id="rId7"/><Relationship Type="http://schemas.openxmlformats.org/officeDocument/2006/relationships/hyperlink" Target="#'Scenarios'!A1" TargetMode="External" Id="rId8"/><Relationship Type="http://schemas.openxmlformats.org/officeDocument/2006/relationships/hyperlink" Target="#'Dashboard'!A1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  <col width="5" customWidth="1" min="4" max="4"/>
    <col width="25" customWidth="1" min="5" max="5"/>
    <col width="18" customWidth="1" min="6" max="6"/>
  </cols>
  <sheetData>
    <row r="2">
      <c r="B2" s="1" t="inlineStr">
        <is>
          <t>HDFCBANK</t>
        </is>
      </c>
    </row>
    <row r="3">
      <c r="B3" s="2" t="inlineStr">
        <is>
          <t>Financial Model Summary</t>
        </is>
      </c>
    </row>
    <row r="4">
      <c r="B4" s="3" t="inlineStr">
        <is>
          <t>Generated: 29-Jan-2026</t>
        </is>
      </c>
    </row>
    <row r="7">
      <c r="B7" s="4" t="inlineStr">
        <is>
          <t>Company Information</t>
        </is>
      </c>
      <c r="E7" s="4" t="inlineStr">
        <is>
          <t>Model Navigation</t>
        </is>
      </c>
    </row>
    <row r="8">
      <c r="B8" s="5" t="inlineStr">
        <is>
          <t>Industry</t>
        </is>
      </c>
      <c r="C8" t="inlineStr">
        <is>
          <t>Banking &amp; Financial Services</t>
        </is>
      </c>
      <c r="E8" s="6" t="inlineStr">
        <is>
          <t>Summary</t>
        </is>
      </c>
    </row>
    <row r="9">
      <c r="B9" s="5" t="inlineStr">
        <is>
          <t>Model Type</t>
        </is>
      </c>
      <c r="C9" t="inlineStr">
        <is>
          <t>Banking</t>
        </is>
      </c>
      <c r="E9" s="6" t="inlineStr">
        <is>
          <t>Assumptions</t>
        </is>
      </c>
    </row>
    <row r="10">
      <c r="B10" s="5" t="inlineStr">
        <is>
          <t>Forecast Period</t>
        </is>
      </c>
      <c r="C10" t="inlineStr">
        <is>
          <t>5 Years</t>
        </is>
      </c>
      <c r="E10" s="6" t="inlineStr">
        <is>
          <t>Income Statement</t>
        </is>
      </c>
    </row>
    <row r="11">
      <c r="E11" s="6" t="inlineStr">
        <is>
          <t>Balance Sheet</t>
        </is>
      </c>
    </row>
    <row r="12">
      <c r="B12" s="4" t="inlineStr">
        <is>
          <t>Key Outputs</t>
        </is>
      </c>
      <c r="E12" s="6" t="inlineStr">
        <is>
          <t>Cash Flow</t>
        </is>
      </c>
    </row>
    <row r="13">
      <c r="B13" s="5" t="inlineStr">
        <is>
          <t>Implied Share Price</t>
        </is>
      </c>
      <c r="C13" s="7">
        <f>Valuation!C50</f>
        <v/>
      </c>
      <c r="E13" s="6" t="inlineStr">
        <is>
          <t>Valuation</t>
        </is>
      </c>
    </row>
    <row r="14">
      <c r="B14" s="5" t="inlineStr">
        <is>
          <t>Enterprise Value</t>
        </is>
      </c>
      <c r="C14" s="8">
        <f>Valuation!C44</f>
        <v/>
      </c>
      <c r="E14" s="6" t="inlineStr">
        <is>
          <t>Sensitivity</t>
        </is>
      </c>
    </row>
    <row r="15">
      <c r="B15" s="5" t="inlineStr">
        <is>
          <t>Equity Value</t>
        </is>
      </c>
      <c r="C15" s="8">
        <f>Valuation!C46</f>
        <v/>
      </c>
      <c r="E15" s="6" t="inlineStr">
        <is>
          <t>Scenarios</t>
        </is>
      </c>
    </row>
    <row r="16">
      <c r="B16" s="5" t="inlineStr">
        <is>
          <t>WACC</t>
        </is>
      </c>
      <c r="C16" s="9">
        <f>Valuation!C19</f>
        <v/>
      </c>
      <c r="E16" s="6" t="inlineStr">
        <is>
          <t>Dashboard</t>
        </is>
      </c>
    </row>
  </sheetData>
  <mergeCells count="4">
    <mergeCell ref="B2:F2"/>
    <mergeCell ref="E7:F7"/>
    <mergeCell ref="B12:C12"/>
    <mergeCell ref="B7:C7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0" customWidth="1" min="4" max="4"/>
    <col width="25" customWidth="1" min="5" max="5"/>
  </cols>
  <sheetData>
    <row r="2">
      <c r="B2" s="1" t="inlineStr">
        <is>
          <t>Model Assumptions</t>
        </is>
      </c>
    </row>
    <row r="4">
      <c r="B4" s="10" t="inlineStr">
        <is>
          <t>Yellow cells are inputs - modify to update the model</t>
        </is>
      </c>
    </row>
    <row r="6">
      <c r="B6" s="4" t="inlineStr">
        <is>
          <t>GROWTH ASSUMPTIONS</t>
        </is>
      </c>
    </row>
    <row r="7">
      <c r="B7" s="5" t="inlineStr">
        <is>
          <t>Revenue Growth Rate</t>
        </is>
      </c>
      <c r="C7" s="11" t="n">
        <v>0.1</v>
      </c>
      <c r="D7" t="inlineStr">
        <is>
          <t>percent</t>
        </is>
      </c>
      <c r="E7" s="12" t="inlineStr">
        <is>
          <t>Annual revenue growth</t>
        </is>
      </c>
    </row>
    <row r="8">
      <c r="B8" s="5" t="inlineStr">
        <is>
          <t>Volume Growth</t>
        </is>
      </c>
      <c r="C8" s="11" t="n">
        <v>0.05</v>
      </c>
      <c r="D8" t="inlineStr">
        <is>
          <t>percent</t>
        </is>
      </c>
      <c r="E8" s="12" t="inlineStr">
        <is>
          <t>Unit volume growth</t>
        </is>
      </c>
    </row>
    <row r="9">
      <c r="B9" s="5" t="inlineStr">
        <is>
          <t>Price Inflation</t>
        </is>
      </c>
      <c r="C9" s="11" t="n">
        <v>0.03</v>
      </c>
      <c r="D9" t="inlineStr">
        <is>
          <t>percent</t>
        </is>
      </c>
      <c r="E9" s="12" t="inlineStr">
        <is>
          <t>Price increase per year</t>
        </is>
      </c>
    </row>
    <row r="11">
      <c r="B11" s="4" t="inlineStr">
        <is>
          <t>MARGIN ASSUMPTIONS</t>
        </is>
      </c>
    </row>
    <row r="12">
      <c r="B12" s="5" t="inlineStr">
        <is>
          <t>Gross Margin</t>
        </is>
      </c>
      <c r="C12" s="11" t="n">
        <v>0.35</v>
      </c>
      <c r="D12" t="inlineStr">
        <is>
          <t>percent</t>
        </is>
      </c>
      <c r="E12" s="12" t="inlineStr">
        <is>
          <t>Revenue - COGS</t>
        </is>
      </c>
    </row>
    <row r="13">
      <c r="B13" s="5" t="inlineStr">
        <is>
          <t>EBITDA Margin</t>
        </is>
      </c>
      <c r="C13" s="11" t="n">
        <v>0.25</v>
      </c>
      <c r="D13" t="inlineStr">
        <is>
          <t>percent</t>
        </is>
      </c>
      <c r="E13" s="12" t="inlineStr">
        <is>
          <t>Target EBITDA margin</t>
        </is>
      </c>
    </row>
    <row r="14">
      <c r="B14" s="5" t="inlineStr">
        <is>
          <t>SG&amp;A as % of Revenue</t>
        </is>
      </c>
      <c r="C14" s="11" t="n">
        <v>0.08</v>
      </c>
      <c r="D14" t="inlineStr">
        <is>
          <t>percent</t>
        </is>
      </c>
      <c r="E14" s="12" t="inlineStr">
        <is>
          <t>Operating expenses</t>
        </is>
      </c>
    </row>
    <row r="16">
      <c r="B16" s="4" t="inlineStr">
        <is>
          <t>WORKING CAPITAL</t>
        </is>
      </c>
    </row>
    <row r="17">
      <c r="B17" s="5" t="inlineStr">
        <is>
          <t>Receivable Days</t>
        </is>
      </c>
      <c r="C17" s="13" t="n">
        <v>45</v>
      </c>
      <c r="D17" t="inlineStr">
        <is>
          <t>days</t>
        </is>
      </c>
      <c r="E17" s="12" t="inlineStr">
        <is>
          <t>DSO</t>
        </is>
      </c>
    </row>
    <row r="18">
      <c r="B18" s="5" t="inlineStr">
        <is>
          <t>Inventory Days</t>
        </is>
      </c>
      <c r="C18" s="13" t="n">
        <v>30</v>
      </c>
      <c r="D18" t="inlineStr">
        <is>
          <t>days</t>
        </is>
      </c>
      <c r="E18" s="12" t="inlineStr">
        <is>
          <t>DIO</t>
        </is>
      </c>
    </row>
    <row r="19">
      <c r="B19" s="5" t="inlineStr">
        <is>
          <t>Payable Days</t>
        </is>
      </c>
      <c r="C19" s="13" t="n">
        <v>60</v>
      </c>
      <c r="D19" t="inlineStr">
        <is>
          <t>days</t>
        </is>
      </c>
      <c r="E19" s="12" t="inlineStr">
        <is>
          <t>DPO</t>
        </is>
      </c>
    </row>
    <row r="21">
      <c r="B21" s="4" t="inlineStr">
        <is>
          <t>CAPEX &amp; D&amp;A</t>
        </is>
      </c>
    </row>
    <row r="22">
      <c r="B22" s="5" t="inlineStr">
        <is>
          <t>Capex % of Revenue</t>
        </is>
      </c>
      <c r="C22" s="11" t="n">
        <v>0.05</v>
      </c>
      <c r="D22" t="inlineStr">
        <is>
          <t>percent</t>
        </is>
      </c>
      <c r="E22" s="12" t="inlineStr">
        <is>
          <t>Maintenance + growth capex</t>
        </is>
      </c>
    </row>
    <row r="23">
      <c r="B23" s="5" t="inlineStr">
        <is>
          <t>D&amp;A % of Gross PPE</t>
        </is>
      </c>
      <c r="C23" s="11" t="n">
        <v>0.08</v>
      </c>
      <c r="D23" t="inlineStr">
        <is>
          <t>percent</t>
        </is>
      </c>
      <c r="E23" s="12" t="inlineStr">
        <is>
          <t>Depreciation rate</t>
        </is>
      </c>
    </row>
    <row r="25">
      <c r="B25" s="4" t="inlineStr">
        <is>
          <t>DEBT ASSUMPTIONS</t>
        </is>
      </c>
    </row>
    <row r="26">
      <c r="B26" s="5" t="inlineStr">
        <is>
          <t>Cost of Debt</t>
        </is>
      </c>
      <c r="C26" s="11" t="n">
        <v>0.09</v>
      </c>
      <c r="D26" t="inlineStr">
        <is>
          <t>percent</t>
        </is>
      </c>
      <c r="E26" s="12" t="inlineStr">
        <is>
          <t>Interest rate on debt</t>
        </is>
      </c>
    </row>
    <row r="27">
      <c r="B27" s="5" t="inlineStr">
        <is>
          <t>Debt/Equity Target</t>
        </is>
      </c>
      <c r="C27" s="14" t="n">
        <v>0.5</v>
      </c>
      <c r="D27" t="inlineStr">
        <is>
          <t>ratio</t>
        </is>
      </c>
      <c r="E27" s="12" t="inlineStr">
        <is>
          <t>Leverage ratio</t>
        </is>
      </c>
    </row>
    <row r="29">
      <c r="B29" s="4" t="inlineStr">
        <is>
          <t>VALUATION INPUTS</t>
        </is>
      </c>
    </row>
    <row r="30">
      <c r="B30" s="5" t="inlineStr">
        <is>
          <t>Risk-free Rate</t>
        </is>
      </c>
      <c r="C30" s="11" t="n">
        <v>0.07000000000000001</v>
      </c>
      <c r="D30" t="inlineStr">
        <is>
          <t>percent</t>
        </is>
      </c>
      <c r="E30" s="12" t="inlineStr">
        <is>
          <t>10Y G-Sec rate</t>
        </is>
      </c>
    </row>
    <row r="31">
      <c r="B31" s="5" t="inlineStr">
        <is>
          <t>Equity Risk Premium</t>
        </is>
      </c>
      <c r="C31" s="11" t="n">
        <v>0.055</v>
      </c>
      <c r="D31" t="inlineStr">
        <is>
          <t>percent</t>
        </is>
      </c>
      <c r="E31" s="12" t="inlineStr">
        <is>
          <t>Market risk premium</t>
        </is>
      </c>
    </row>
    <row r="32">
      <c r="B32" s="5" t="inlineStr">
        <is>
          <t>Beta</t>
        </is>
      </c>
      <c r="C32" s="14" t="n">
        <v>1</v>
      </c>
      <c r="D32" t="inlineStr">
        <is>
          <t>ratio</t>
        </is>
      </c>
      <c r="E32" s="12" t="inlineStr">
        <is>
          <t>Levered beta</t>
        </is>
      </c>
    </row>
    <row r="33">
      <c r="B33" s="5" t="inlineStr">
        <is>
          <t>Terminal Growth Rate</t>
        </is>
      </c>
      <c r="C33" s="11" t="n">
        <v>0.04</v>
      </c>
      <c r="D33" t="inlineStr">
        <is>
          <t>percent</t>
        </is>
      </c>
      <c r="E33" s="12" t="inlineStr">
        <is>
          <t>Long-term growth</t>
        </is>
      </c>
    </row>
    <row r="34">
      <c r="B34" s="5" t="inlineStr">
        <is>
          <t>Tax Rate</t>
        </is>
      </c>
      <c r="C34" s="11" t="n">
        <v>0.25</v>
      </c>
      <c r="D34" t="inlineStr">
        <is>
          <t>percent</t>
        </is>
      </c>
      <c r="E34" s="12" t="inlineStr">
        <is>
          <t>Effective tax rate</t>
        </is>
      </c>
    </row>
    <row r="36">
      <c r="B36" s="4" t="inlineStr">
        <is>
          <t>SHARES</t>
        </is>
      </c>
    </row>
    <row r="37">
      <c r="B37" s="5" t="inlineStr">
        <is>
          <t>Shares Outstanding (Cr)</t>
        </is>
      </c>
      <c r="C37" s="13" t="n">
        <v>10</v>
      </c>
      <c r="D37" t="inlineStr">
        <is>
          <t>number</t>
        </is>
      </c>
      <c r="E37" s="12" t="inlineStr">
        <is>
          <t>Diluted shares</t>
        </is>
      </c>
    </row>
  </sheetData>
  <mergeCells count="7">
    <mergeCell ref="B6:E6"/>
    <mergeCell ref="B21:E21"/>
    <mergeCell ref="B16:E16"/>
    <mergeCell ref="B29:E29"/>
    <mergeCell ref="B25:E25"/>
    <mergeCell ref="B11:E11"/>
    <mergeCell ref="B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Income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16" t="inlineStr">
        <is>
          <t>Revenue</t>
        </is>
      </c>
      <c r="C6" s="17" t="n">
        <v>10000</v>
      </c>
      <c r="D6" s="17">
        <f>IFERROR(C6*(1+Assumptions!$C$7),0)</f>
        <v/>
      </c>
      <c r="E6" s="17">
        <f>IFERROR(D6*(1+Assumptions!$C$7),0)</f>
        <v/>
      </c>
      <c r="F6" s="17">
        <f>IFERROR(E6*(1+Assumptions!$C$7),0)</f>
        <v/>
      </c>
      <c r="G6" s="17">
        <f>IFERROR(F6*(1+Assumptions!$C$7),0)</f>
        <v/>
      </c>
      <c r="H6" s="17">
        <f>IFERROR(G6*(1+Assumptions!$C$7),0)</f>
        <v/>
      </c>
      <c r="I6" s="17">
        <f>IFERROR(H6*(1+Assumptions!$C$7),0)</f>
        <v/>
      </c>
      <c r="J6" s="17">
        <f>IFERROR(I6*(1+Assumptions!$C$7),0)</f>
        <v/>
      </c>
      <c r="K6" s="17">
        <f>IFERROR(J6*(1+Assumptions!$C$7),0)</f>
        <v/>
      </c>
      <c r="L6" s="17">
        <f>IFERROR(K6*(1+Assumptions!$C$7),0)</f>
        <v/>
      </c>
    </row>
    <row r="7">
      <c r="B7" s="5" t="inlineStr">
        <is>
          <t>Growth %</t>
        </is>
      </c>
      <c r="C7" s="18" t="n"/>
      <c r="D7" s="18">
        <f>IFERROR(D6/C6-1,0)</f>
        <v/>
      </c>
      <c r="E7" s="18">
        <f>IFERROR(E6/D6-1,0)</f>
        <v/>
      </c>
      <c r="F7" s="18">
        <f>IFERROR(F6/E6-1,0)</f>
        <v/>
      </c>
      <c r="G7" s="18">
        <f>IFERROR(G6/F6-1,0)</f>
        <v/>
      </c>
      <c r="H7" s="18">
        <f>IFERROR(H6/G6-1,0)</f>
        <v/>
      </c>
      <c r="I7" s="18">
        <f>IFERROR(I6/H6-1,0)</f>
        <v/>
      </c>
      <c r="J7" s="18">
        <f>IFERROR(J6/I6-1,0)</f>
        <v/>
      </c>
      <c r="K7" s="18">
        <f>IFERROR(K6/J6-1,0)</f>
        <v/>
      </c>
      <c r="L7" s="18">
        <f>IFERROR(L6/K6-1,0)</f>
        <v/>
      </c>
    </row>
    <row r="9">
      <c r="B9" s="5" t="inlineStr">
        <is>
          <t>Cost of Goods Sold</t>
        </is>
      </c>
      <c r="C9" s="17">
        <f>IFERROR(-C6*(1-Assumptions!$C$12),0)</f>
        <v/>
      </c>
      <c r="D9" s="17">
        <f>IFERROR(-D6*(1-Assumptions!$C$12),0)</f>
        <v/>
      </c>
      <c r="E9" s="17">
        <f>IFERROR(-E6*(1-Assumptions!$C$12),0)</f>
        <v/>
      </c>
      <c r="F9" s="17">
        <f>IFERROR(-F6*(1-Assumptions!$C$12),0)</f>
        <v/>
      </c>
      <c r="G9" s="17">
        <f>IFERROR(-G6*(1-Assumptions!$C$12),0)</f>
        <v/>
      </c>
      <c r="H9" s="17">
        <f>IFERROR(-H6*(1-Assumptions!$C$12),0)</f>
        <v/>
      </c>
      <c r="I9" s="17">
        <f>IFERROR(-I6*(1-Assumptions!$C$12),0)</f>
        <v/>
      </c>
      <c r="J9" s="17">
        <f>IFERROR(-J6*(1-Assumptions!$C$12),0)</f>
        <v/>
      </c>
      <c r="K9" s="17">
        <f>IFERROR(-K6*(1-Assumptions!$C$12),0)</f>
        <v/>
      </c>
      <c r="L9" s="17">
        <f>IFERROR(-L6*(1-Assumptions!$C$12),0)</f>
        <v/>
      </c>
    </row>
    <row r="10">
      <c r="B10" s="16" t="inlineStr">
        <is>
          <t>Gross Profit</t>
        </is>
      </c>
      <c r="C10" s="17">
        <f>C6+C9</f>
        <v/>
      </c>
      <c r="D10" s="17">
        <f>D6+D9</f>
        <v/>
      </c>
      <c r="E10" s="17">
        <f>E6+E9</f>
        <v/>
      </c>
      <c r="F10" s="17">
        <f>F6+F9</f>
        <v/>
      </c>
      <c r="G10" s="17">
        <f>G6+G9</f>
        <v/>
      </c>
      <c r="H10" s="17">
        <f>H6+H9</f>
        <v/>
      </c>
      <c r="I10" s="17">
        <f>I6+I9</f>
        <v/>
      </c>
      <c r="J10" s="17">
        <f>J6+J9</f>
        <v/>
      </c>
      <c r="K10" s="17">
        <f>K6+K9</f>
        <v/>
      </c>
      <c r="L10" s="17">
        <f>L6+L9</f>
        <v/>
      </c>
    </row>
    <row r="11">
      <c r="B11" s="5" t="inlineStr">
        <is>
          <t>Gross Margin %</t>
        </is>
      </c>
      <c r="C11" s="18">
        <f>IFERROR(C10/C6,0)</f>
        <v/>
      </c>
      <c r="D11" s="18">
        <f>IFERROR(D10/D6,0)</f>
        <v/>
      </c>
      <c r="E11" s="18">
        <f>IFERROR(E10/E6,0)</f>
        <v/>
      </c>
      <c r="F11" s="18">
        <f>IFERROR(F10/F6,0)</f>
        <v/>
      </c>
      <c r="G11" s="18">
        <f>IFERROR(G10/G6,0)</f>
        <v/>
      </c>
      <c r="H11" s="18">
        <f>IFERROR(H10/H6,0)</f>
        <v/>
      </c>
      <c r="I11" s="18">
        <f>IFERROR(I10/I6,0)</f>
        <v/>
      </c>
      <c r="J11" s="18">
        <f>IFERROR(J10/J6,0)</f>
        <v/>
      </c>
      <c r="K11" s="18">
        <f>IFERROR(K10/K6,0)</f>
        <v/>
      </c>
      <c r="L11" s="18">
        <f>IFERROR(L10/L6,0)</f>
        <v/>
      </c>
    </row>
    <row r="13">
      <c r="B13" s="5" t="inlineStr">
        <is>
          <t>SG&amp;A Expenses</t>
        </is>
      </c>
      <c r="C13" s="17">
        <f>IFERROR(-C6*Assumptions!$C$14,0)</f>
        <v/>
      </c>
      <c r="D13" s="17">
        <f>IFERROR(-D6*Assumptions!$C$14,0)</f>
        <v/>
      </c>
      <c r="E13" s="17">
        <f>IFERROR(-E6*Assumptions!$C$14,0)</f>
        <v/>
      </c>
      <c r="F13" s="17">
        <f>IFERROR(-F6*Assumptions!$C$14,0)</f>
        <v/>
      </c>
      <c r="G13" s="17">
        <f>IFERROR(-G6*Assumptions!$C$14,0)</f>
        <v/>
      </c>
      <c r="H13" s="17">
        <f>IFERROR(-H6*Assumptions!$C$14,0)</f>
        <v/>
      </c>
      <c r="I13" s="17">
        <f>IFERROR(-I6*Assumptions!$C$14,0)</f>
        <v/>
      </c>
      <c r="J13" s="17">
        <f>IFERROR(-J6*Assumptions!$C$14,0)</f>
        <v/>
      </c>
      <c r="K13" s="17">
        <f>IFERROR(-K6*Assumptions!$C$14,0)</f>
        <v/>
      </c>
      <c r="L13" s="17">
        <f>IFERROR(-L6*Assumptions!$C$14,0)</f>
        <v/>
      </c>
    </row>
    <row r="14">
      <c r="B14" s="5" t="inlineStr">
        <is>
          <t>Other Operating Expenses</t>
        </is>
      </c>
      <c r="C14" s="17">
        <f>-C6*0.02</f>
        <v/>
      </c>
      <c r="D14" s="17">
        <f>-D6*0.02</f>
        <v/>
      </c>
      <c r="E14" s="17">
        <f>-E6*0.02</f>
        <v/>
      </c>
      <c r="F14" s="17">
        <f>-F6*0.02</f>
        <v/>
      </c>
      <c r="G14" s="17">
        <f>-G6*0.02</f>
        <v/>
      </c>
      <c r="H14" s="17">
        <f>-H6*0.02</f>
        <v/>
      </c>
      <c r="I14" s="17">
        <f>-I6*0.02</f>
        <v/>
      </c>
      <c r="J14" s="17">
        <f>-J6*0.02</f>
        <v/>
      </c>
      <c r="K14" s="17">
        <f>-K6*0.02</f>
        <v/>
      </c>
      <c r="L14" s="17">
        <f>-L6*0.02</f>
        <v/>
      </c>
    </row>
    <row r="15">
      <c r="B15" s="16" t="inlineStr">
        <is>
          <t>EBITDA</t>
        </is>
      </c>
      <c r="C15" s="19">
        <f>C10+C13+C14</f>
        <v/>
      </c>
      <c r="D15" s="19">
        <f>D10+D13+D14</f>
        <v/>
      </c>
      <c r="E15" s="19">
        <f>E10+E13+E14</f>
        <v/>
      </c>
      <c r="F15" s="19">
        <f>F10+F13+F14</f>
        <v/>
      </c>
      <c r="G15" s="19">
        <f>G10+G13+G14</f>
        <v/>
      </c>
      <c r="H15" s="19">
        <f>H10+H13+H14</f>
        <v/>
      </c>
      <c r="I15" s="19">
        <f>I10+I13+I14</f>
        <v/>
      </c>
      <c r="J15" s="19">
        <f>J10+J13+J14</f>
        <v/>
      </c>
      <c r="K15" s="19">
        <f>K10+K13+K14</f>
        <v/>
      </c>
      <c r="L15" s="19">
        <f>L10+L13+L14</f>
        <v/>
      </c>
    </row>
    <row r="16">
      <c r="B16" s="5" t="inlineStr">
        <is>
          <t>EBITDA Margin %</t>
        </is>
      </c>
      <c r="C16" s="18">
        <f>IFERROR(C15/C6,0)</f>
        <v/>
      </c>
      <c r="D16" s="18">
        <f>IFERROR(D15/D6,0)</f>
        <v/>
      </c>
      <c r="E16" s="18">
        <f>IFERROR(E15/E6,0)</f>
        <v/>
      </c>
      <c r="F16" s="18">
        <f>IFERROR(F15/F6,0)</f>
        <v/>
      </c>
      <c r="G16" s="18">
        <f>IFERROR(G15/G6,0)</f>
        <v/>
      </c>
      <c r="H16" s="18">
        <f>IFERROR(H15/H6,0)</f>
        <v/>
      </c>
      <c r="I16" s="18">
        <f>IFERROR(I15/I6,0)</f>
        <v/>
      </c>
      <c r="J16" s="18">
        <f>IFERROR(J15/J6,0)</f>
        <v/>
      </c>
      <c r="K16" s="18">
        <f>IFERROR(K15/K6,0)</f>
        <v/>
      </c>
      <c r="L16" s="18">
        <f>IFERROR(L15/L6,0)</f>
        <v/>
      </c>
    </row>
    <row r="18">
      <c r="B18" s="5" t="inlineStr">
        <is>
          <t>Depreciation &amp; Amortization</t>
        </is>
      </c>
      <c r="C18" s="17">
        <f>IFERROR(-C6*Assumptions!$C$23,0)</f>
        <v/>
      </c>
      <c r="D18" s="17">
        <f>IFERROR(-D6*Assumptions!$C$23,0)</f>
        <v/>
      </c>
      <c r="E18" s="17">
        <f>IFERROR(-E6*Assumptions!$C$23,0)</f>
        <v/>
      </c>
      <c r="F18" s="17">
        <f>IFERROR(-F6*Assumptions!$C$23,0)</f>
        <v/>
      </c>
      <c r="G18" s="17">
        <f>IFERROR(-G6*Assumptions!$C$23,0)</f>
        <v/>
      </c>
      <c r="H18" s="17">
        <f>IFERROR(-H6*Assumptions!$C$23,0)</f>
        <v/>
      </c>
      <c r="I18" s="17">
        <f>IFERROR(-I6*Assumptions!$C$23,0)</f>
        <v/>
      </c>
      <c r="J18" s="17">
        <f>IFERROR(-J6*Assumptions!$C$23,0)</f>
        <v/>
      </c>
      <c r="K18" s="17">
        <f>IFERROR(-K6*Assumptions!$C$23,0)</f>
        <v/>
      </c>
      <c r="L18" s="17">
        <f>IFERROR(-L6*Assumptions!$C$23,0)</f>
        <v/>
      </c>
    </row>
    <row r="19">
      <c r="B19" s="16" t="inlineStr">
        <is>
          <t>EBIT</t>
        </is>
      </c>
      <c r="C19" s="17">
        <f>C15+C18</f>
        <v/>
      </c>
      <c r="D19" s="17">
        <f>D15+D18</f>
        <v/>
      </c>
      <c r="E19" s="17">
        <f>E15+E18</f>
        <v/>
      </c>
      <c r="F19" s="17">
        <f>F15+F18</f>
        <v/>
      </c>
      <c r="G19" s="17">
        <f>G15+G18</f>
        <v/>
      </c>
      <c r="H19" s="17">
        <f>H15+H18</f>
        <v/>
      </c>
      <c r="I19" s="17">
        <f>I15+I18</f>
        <v/>
      </c>
      <c r="J19" s="17">
        <f>J15+J18</f>
        <v/>
      </c>
      <c r="K19" s="17">
        <f>K15+K18</f>
        <v/>
      </c>
      <c r="L19" s="17">
        <f>L15+L18</f>
        <v/>
      </c>
    </row>
    <row r="20">
      <c r="B20" s="5" t="inlineStr">
        <is>
          <t>EBIT Margin %</t>
        </is>
      </c>
      <c r="C20" s="18">
        <f>IFERROR(C19/C6,0)</f>
        <v/>
      </c>
      <c r="D20" s="18">
        <f>IFERROR(D19/D6,0)</f>
        <v/>
      </c>
      <c r="E20" s="18">
        <f>IFERROR(E19/E6,0)</f>
        <v/>
      </c>
      <c r="F20" s="18">
        <f>IFERROR(F19/F6,0)</f>
        <v/>
      </c>
      <c r="G20" s="18">
        <f>IFERROR(G19/G6,0)</f>
        <v/>
      </c>
      <c r="H20" s="18">
        <f>IFERROR(H19/H6,0)</f>
        <v/>
      </c>
      <c r="I20" s="18">
        <f>IFERROR(I19/I6,0)</f>
        <v/>
      </c>
      <c r="J20" s="18">
        <f>IFERROR(J19/J6,0)</f>
        <v/>
      </c>
      <c r="K20" s="18">
        <f>IFERROR(K19/K6,0)</f>
        <v/>
      </c>
      <c r="L20" s="18">
        <f>IFERROR(L19/L6,0)</f>
        <v/>
      </c>
    </row>
    <row r="22">
      <c r="B22" s="5" t="inlineStr">
        <is>
          <t>Interest Expense</t>
        </is>
      </c>
      <c r="C22" s="17">
        <f>-C6*0.02</f>
        <v/>
      </c>
      <c r="D22" s="17">
        <f>-D6*0.02</f>
        <v/>
      </c>
      <c r="E22" s="17">
        <f>-E6*0.02</f>
        <v/>
      </c>
      <c r="F22" s="17">
        <f>-F6*0.02</f>
        <v/>
      </c>
      <c r="G22" s="17">
        <f>-G6*0.02</f>
        <v/>
      </c>
      <c r="H22" s="17">
        <f>-H6*0.02</f>
        <v/>
      </c>
      <c r="I22" s="17">
        <f>-I6*0.02</f>
        <v/>
      </c>
      <c r="J22" s="17">
        <f>-J6*0.02</f>
        <v/>
      </c>
      <c r="K22" s="17">
        <f>-K6*0.02</f>
        <v/>
      </c>
      <c r="L22" s="17">
        <f>-L6*0.02</f>
        <v/>
      </c>
    </row>
    <row r="23">
      <c r="B23" s="16" t="inlineStr">
        <is>
          <t>Pre-tax Income</t>
        </is>
      </c>
      <c r="C23" s="17">
        <f>C19+C22</f>
        <v/>
      </c>
      <c r="D23" s="17">
        <f>D19+D22</f>
        <v/>
      </c>
      <c r="E23" s="17">
        <f>E19+E22</f>
        <v/>
      </c>
      <c r="F23" s="17">
        <f>F19+F22</f>
        <v/>
      </c>
      <c r="G23" s="17">
        <f>G19+G22</f>
        <v/>
      </c>
      <c r="H23" s="17">
        <f>H19+H22</f>
        <v/>
      </c>
      <c r="I23" s="17">
        <f>I19+I22</f>
        <v/>
      </c>
      <c r="J23" s="17">
        <f>J19+J22</f>
        <v/>
      </c>
      <c r="K23" s="17">
        <f>K19+K22</f>
        <v/>
      </c>
      <c r="L23" s="17">
        <f>L19+L22</f>
        <v/>
      </c>
    </row>
    <row r="25">
      <c r="B25" s="5" t="inlineStr">
        <is>
          <t>Tax Expense</t>
        </is>
      </c>
      <c r="C25" s="17">
        <f>IFERROR(-MAX(C23,0)*Assumptions!$C$34,0)</f>
        <v/>
      </c>
      <c r="D25" s="17">
        <f>IFERROR(-MAX(D23,0)*Assumptions!$C$34,0)</f>
        <v/>
      </c>
      <c r="E25" s="17">
        <f>IFERROR(-MAX(E23,0)*Assumptions!$C$34,0)</f>
        <v/>
      </c>
      <c r="F25" s="17">
        <f>IFERROR(-MAX(F23,0)*Assumptions!$C$34,0)</f>
        <v/>
      </c>
      <c r="G25" s="17">
        <f>IFERROR(-MAX(G23,0)*Assumptions!$C$34,0)</f>
        <v/>
      </c>
      <c r="H25" s="17">
        <f>IFERROR(-MAX(H23,0)*Assumptions!$C$34,0)</f>
        <v/>
      </c>
      <c r="I25" s="17">
        <f>IFERROR(-MAX(I23,0)*Assumptions!$C$34,0)</f>
        <v/>
      </c>
      <c r="J25" s="17">
        <f>IFERROR(-MAX(J23,0)*Assumptions!$C$34,0)</f>
        <v/>
      </c>
      <c r="K25" s="17">
        <f>IFERROR(-MAX(K23,0)*Assumptions!$C$34,0)</f>
        <v/>
      </c>
      <c r="L25" s="17">
        <f>IFERROR(-MAX(L23,0)*Assumptions!$C$34,0)</f>
        <v/>
      </c>
    </row>
    <row r="26">
      <c r="B26" s="16" t="inlineStr">
        <is>
          <t>Net Income</t>
        </is>
      </c>
      <c r="C26" s="19">
        <f>C23+C25</f>
        <v/>
      </c>
      <c r="D26" s="19">
        <f>D23+D25</f>
        <v/>
      </c>
      <c r="E26" s="19">
        <f>E23+E25</f>
        <v/>
      </c>
      <c r="F26" s="19">
        <f>F23+F25</f>
        <v/>
      </c>
      <c r="G26" s="19">
        <f>G23+G25</f>
        <v/>
      </c>
      <c r="H26" s="19">
        <f>H23+H25</f>
        <v/>
      </c>
      <c r="I26" s="19">
        <f>I23+I25</f>
        <v/>
      </c>
      <c r="J26" s="19">
        <f>J23+J25</f>
        <v/>
      </c>
      <c r="K26" s="19">
        <f>K23+K25</f>
        <v/>
      </c>
      <c r="L26" s="19">
        <f>L23+L25</f>
        <v/>
      </c>
    </row>
    <row r="27">
      <c r="B27" s="5" t="inlineStr">
        <is>
          <t>Net Margin %</t>
        </is>
      </c>
      <c r="C27" s="18">
        <f>IFERROR(C26/C6,0)</f>
        <v/>
      </c>
      <c r="D27" s="18">
        <f>IFERROR(D26/D6,0)</f>
        <v/>
      </c>
      <c r="E27" s="18">
        <f>IFERROR(E26/E6,0)</f>
        <v/>
      </c>
      <c r="F27" s="18">
        <f>IFERROR(F26/F6,0)</f>
        <v/>
      </c>
      <c r="G27" s="18">
        <f>IFERROR(G26/G6,0)</f>
        <v/>
      </c>
      <c r="H27" s="18">
        <f>IFERROR(H26/H6,0)</f>
        <v/>
      </c>
      <c r="I27" s="18">
        <f>IFERROR(I26/I6,0)</f>
        <v/>
      </c>
      <c r="J27" s="18">
        <f>IFERROR(J26/J6,0)</f>
        <v/>
      </c>
      <c r="K27" s="18">
        <f>IFERROR(K26/K6,0)</f>
        <v/>
      </c>
      <c r="L27" s="18">
        <f>IFERROR(L26/L6,0)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3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Balance Sheet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ASSETS</t>
        </is>
      </c>
    </row>
    <row r="7">
      <c r="B7" s="5" t="inlineStr">
        <is>
          <t>Cash &amp; Equivalents</t>
        </is>
      </c>
      <c r="C7" s="17" t="n">
        <v>2000</v>
      </c>
      <c r="D7" s="17">
        <f>C7+Cash_Flow!D28</f>
        <v/>
      </c>
      <c r="E7" s="17">
        <f>D7+Cash_Flow!E28</f>
        <v/>
      </c>
      <c r="F7" s="17">
        <f>E7+Cash_Flow!F28</f>
        <v/>
      </c>
      <c r="G7" s="17">
        <f>F7+Cash_Flow!G28</f>
        <v/>
      </c>
      <c r="H7" s="17">
        <f>G7+Cash_Flow!H28</f>
        <v/>
      </c>
      <c r="I7" s="17">
        <f>H7+Cash_Flow!I28</f>
        <v/>
      </c>
      <c r="J7" s="17">
        <f>I7+Cash_Flow!J28</f>
        <v/>
      </c>
      <c r="K7" s="17">
        <f>J7+Cash_Flow!K28</f>
        <v/>
      </c>
      <c r="L7" s="17">
        <f>K7+Cash_Flow!L28</f>
        <v/>
      </c>
    </row>
    <row r="8">
      <c r="B8" s="5" t="inlineStr">
        <is>
          <t>Trade Receivables</t>
        </is>
      </c>
      <c r="C8" s="17">
        <f>IFERROR(Income_Statement!C6*Assumptions!$C$17/365,0)</f>
        <v/>
      </c>
      <c r="D8" s="17">
        <f>IFERROR(Income_Statement!D6*Assumptions!$C$17/365,0)</f>
        <v/>
      </c>
      <c r="E8" s="17">
        <f>IFERROR(Income_Statement!E6*Assumptions!$C$17/365,0)</f>
        <v/>
      </c>
      <c r="F8" s="17">
        <f>IFERROR(Income_Statement!F6*Assumptions!$C$17/365,0)</f>
        <v/>
      </c>
      <c r="G8" s="17">
        <f>IFERROR(Income_Statement!G6*Assumptions!$C$17/365,0)</f>
        <v/>
      </c>
      <c r="H8" s="17">
        <f>IFERROR(Income_Statement!H6*Assumptions!$C$17/365,0)</f>
        <v/>
      </c>
      <c r="I8" s="17">
        <f>IFERROR(Income_Statement!I6*Assumptions!$C$17/365,0)</f>
        <v/>
      </c>
      <c r="J8" s="17">
        <f>IFERROR(Income_Statement!J6*Assumptions!$C$17/365,0)</f>
        <v/>
      </c>
      <c r="K8" s="17">
        <f>IFERROR(Income_Statement!K6*Assumptions!$C$17/365,0)</f>
        <v/>
      </c>
      <c r="L8" s="17">
        <f>IFERROR(Income_Statement!L6*Assumptions!$C$17/365,0)</f>
        <v/>
      </c>
    </row>
    <row r="9">
      <c r="B9" s="5" t="inlineStr">
        <is>
          <t>Inventory</t>
        </is>
      </c>
      <c r="C9" s="17">
        <f>IFERROR(ABS(Income_Statement!C9)*Assumptions!$C$18/365,0)</f>
        <v/>
      </c>
      <c r="D9" s="17">
        <f>IFERROR(ABS(Income_Statement!D9)*Assumptions!$C$18/365,0)</f>
        <v/>
      </c>
      <c r="E9" s="17">
        <f>IFERROR(ABS(Income_Statement!E9)*Assumptions!$C$18/365,0)</f>
        <v/>
      </c>
      <c r="F9" s="17">
        <f>IFERROR(ABS(Income_Statement!F9)*Assumptions!$C$18/365,0)</f>
        <v/>
      </c>
      <c r="G9" s="17">
        <f>IFERROR(ABS(Income_Statement!G9)*Assumptions!$C$18/365,0)</f>
        <v/>
      </c>
      <c r="H9" s="17">
        <f>IFERROR(ABS(Income_Statement!H9)*Assumptions!$C$18/365,0)</f>
        <v/>
      </c>
      <c r="I9" s="17">
        <f>IFERROR(ABS(Income_Statement!I9)*Assumptions!$C$18/365,0)</f>
        <v/>
      </c>
      <c r="J9" s="17">
        <f>IFERROR(ABS(Income_Statement!J9)*Assumptions!$C$18/365,0)</f>
        <v/>
      </c>
      <c r="K9" s="17">
        <f>IFERROR(ABS(Income_Statement!K9)*Assumptions!$C$18/365,0)</f>
        <v/>
      </c>
      <c r="L9" s="17">
        <f>IFERROR(ABS(Income_Statement!L9)*Assumptions!$C$18/365,0)</f>
        <v/>
      </c>
    </row>
    <row r="10">
      <c r="B10" s="5" t="inlineStr">
        <is>
          <t>Other Current Assets</t>
        </is>
      </c>
      <c r="C10" s="17" t="n">
        <v>1000</v>
      </c>
      <c r="D10" s="17">
        <f>C10*1.02</f>
        <v/>
      </c>
      <c r="E10" s="17">
        <f>D10*1.02</f>
        <v/>
      </c>
      <c r="F10" s="17">
        <f>E10*1.02</f>
        <v/>
      </c>
      <c r="G10" s="17">
        <f>F10*1.02</f>
        <v/>
      </c>
      <c r="H10" s="17">
        <f>G10*1.02</f>
        <v/>
      </c>
      <c r="I10" s="17">
        <f>H10*1.02</f>
        <v/>
      </c>
      <c r="J10" s="17">
        <f>I10*1.02</f>
        <v/>
      </c>
      <c r="K10" s="17">
        <f>J10*1.02</f>
        <v/>
      </c>
      <c r="L10" s="17">
        <f>K10*1.02</f>
        <v/>
      </c>
    </row>
    <row r="11">
      <c r="B11" s="16" t="inlineStr">
        <is>
          <t>Total Current Assets</t>
        </is>
      </c>
      <c r="C11" s="17">
        <f>SUM(C7:C10)</f>
        <v/>
      </c>
      <c r="D11" s="17">
        <f>SUM(D7:D10)</f>
        <v/>
      </c>
      <c r="E11" s="17">
        <f>SUM(E7:E10)</f>
        <v/>
      </c>
      <c r="F11" s="17">
        <f>SUM(F7:F10)</f>
        <v/>
      </c>
      <c r="G11" s="17">
        <f>SUM(G7:G10)</f>
        <v/>
      </c>
      <c r="H11" s="17">
        <f>SUM(H7:H10)</f>
        <v/>
      </c>
      <c r="I11" s="17">
        <f>SUM(I7:I10)</f>
        <v/>
      </c>
      <c r="J11" s="17">
        <f>SUM(J7:J10)</f>
        <v/>
      </c>
      <c r="K11" s="17">
        <f>SUM(K7:K10)</f>
        <v/>
      </c>
      <c r="L11" s="17">
        <f>SUM(L7:L10)</f>
        <v/>
      </c>
    </row>
    <row r="13">
      <c r="B13" s="5" t="inlineStr">
        <is>
          <t>Gross PP&amp;E</t>
        </is>
      </c>
      <c r="C13" s="17" t="n">
        <v>12000</v>
      </c>
      <c r="D13" s="17">
        <f>IFERROR(C13+Income_Statement!D6*Assumptions!$C$22,C13)</f>
        <v/>
      </c>
      <c r="E13" s="17">
        <f>IFERROR(D13+Income_Statement!E6*Assumptions!$C$22,D13)</f>
        <v/>
      </c>
      <c r="F13" s="17">
        <f>IFERROR(E13+Income_Statement!F6*Assumptions!$C$22,E13)</f>
        <v/>
      </c>
      <c r="G13" s="17">
        <f>IFERROR(F13+Income_Statement!G6*Assumptions!$C$22,F13)</f>
        <v/>
      </c>
      <c r="H13" s="17">
        <f>IFERROR(G13+Income_Statement!H6*Assumptions!$C$22,G13)</f>
        <v/>
      </c>
      <c r="I13" s="17">
        <f>IFERROR(H13+Income_Statement!I6*Assumptions!$C$22,H13)</f>
        <v/>
      </c>
      <c r="J13" s="17">
        <f>IFERROR(I13+Income_Statement!J6*Assumptions!$C$22,I13)</f>
        <v/>
      </c>
      <c r="K13" s="17">
        <f>IFERROR(J13+Income_Statement!K6*Assumptions!$C$22,J13)</f>
        <v/>
      </c>
      <c r="L13" s="17">
        <f>IFERROR(K13+Income_Statement!L6*Assumptions!$C$22,K13)</f>
        <v/>
      </c>
    </row>
    <row r="14">
      <c r="B14" s="5" t="inlineStr">
        <is>
          <t>Accumulated Depreciation</t>
        </is>
      </c>
      <c r="C14" s="17" t="n">
        <v>-4000</v>
      </c>
      <c r="D14" s="17">
        <f>C14+Income_Statement!D18</f>
        <v/>
      </c>
      <c r="E14" s="17">
        <f>D14+Income_Statement!E18</f>
        <v/>
      </c>
      <c r="F14" s="17">
        <f>E14+Income_Statement!F18</f>
        <v/>
      </c>
      <c r="G14" s="17">
        <f>F14+Income_Statement!G18</f>
        <v/>
      </c>
      <c r="H14" s="17">
        <f>G14+Income_Statement!H18</f>
        <v/>
      </c>
      <c r="I14" s="17">
        <f>H14+Income_Statement!I18</f>
        <v/>
      </c>
      <c r="J14" s="17">
        <f>I14+Income_Statement!J18</f>
        <v/>
      </c>
      <c r="K14" s="17">
        <f>J14+Income_Statement!K18</f>
        <v/>
      </c>
      <c r="L14" s="17">
        <f>K14+Income_Statement!L18</f>
        <v/>
      </c>
    </row>
    <row r="15">
      <c r="B15" s="16" t="inlineStr">
        <is>
          <t>Net PP&amp;E</t>
        </is>
      </c>
      <c r="C15" s="17">
        <f>C13+C14</f>
        <v/>
      </c>
      <c r="D15" s="17">
        <f>D13+D14</f>
        <v/>
      </c>
      <c r="E15" s="17">
        <f>E13+E14</f>
        <v/>
      </c>
      <c r="F15" s="17">
        <f>F13+F14</f>
        <v/>
      </c>
      <c r="G15" s="17">
        <f>G13+G14</f>
        <v/>
      </c>
      <c r="H15" s="17">
        <f>H13+H14</f>
        <v/>
      </c>
      <c r="I15" s="17">
        <f>I13+I14</f>
        <v/>
      </c>
      <c r="J15" s="17">
        <f>J13+J14</f>
        <v/>
      </c>
      <c r="K15" s="17">
        <f>K13+K14</f>
        <v/>
      </c>
      <c r="L15" s="17">
        <f>L13+L14</f>
        <v/>
      </c>
    </row>
    <row r="16">
      <c r="B16" s="5" t="inlineStr">
        <is>
          <t>Other Non-Current Assets</t>
        </is>
      </c>
      <c r="C16" s="17" t="n">
        <v>2000</v>
      </c>
      <c r="D16" s="17">
        <f>C16*1.01</f>
        <v/>
      </c>
      <c r="E16" s="17">
        <f>D16*1.01</f>
        <v/>
      </c>
      <c r="F16" s="17">
        <f>E16*1.01</f>
        <v/>
      </c>
      <c r="G16" s="17">
        <f>F16*1.01</f>
        <v/>
      </c>
      <c r="H16" s="17">
        <f>G16*1.01</f>
        <v/>
      </c>
      <c r="I16" s="17">
        <f>H16*1.01</f>
        <v/>
      </c>
      <c r="J16" s="17">
        <f>I16*1.01</f>
        <v/>
      </c>
      <c r="K16" s="17">
        <f>J16*1.01</f>
        <v/>
      </c>
      <c r="L16" s="17">
        <f>K16*1.01</f>
        <v/>
      </c>
    </row>
    <row r="17">
      <c r="B17" s="16" t="inlineStr">
        <is>
          <t>Total Assets</t>
        </is>
      </c>
      <c r="C17" s="19">
        <f>C11+C15+C16</f>
        <v/>
      </c>
      <c r="D17" s="19">
        <f>D11+D15+D16</f>
        <v/>
      </c>
      <c r="E17" s="19">
        <f>E11+E15+E16</f>
        <v/>
      </c>
      <c r="F17" s="19">
        <f>F11+F15+F16</f>
        <v/>
      </c>
      <c r="G17" s="19">
        <f>G11+G15+G16</f>
        <v/>
      </c>
      <c r="H17" s="19">
        <f>H11+H15+H16</f>
        <v/>
      </c>
      <c r="I17" s="19">
        <f>I11+I15+I16</f>
        <v/>
      </c>
      <c r="J17" s="19">
        <f>J11+J15+J16</f>
        <v/>
      </c>
      <c r="K17" s="19">
        <f>K11+K15+K16</f>
        <v/>
      </c>
      <c r="L17" s="19">
        <f>L11+L15+L16</f>
        <v/>
      </c>
    </row>
    <row r="19">
      <c r="B19" s="4" t="inlineStr">
        <is>
          <t>LIABILITIES</t>
        </is>
      </c>
    </row>
    <row r="20">
      <c r="B20" s="5" t="inlineStr">
        <is>
          <t>Trade Payables</t>
        </is>
      </c>
      <c r="C20" s="17">
        <f>IFERROR(ABS(Income_Statement!C9)*Assumptions!$C$19/365,0)</f>
        <v/>
      </c>
      <c r="D20" s="17">
        <f>IFERROR(ABS(Income_Statement!D9)*Assumptions!$C$19/365,0)</f>
        <v/>
      </c>
      <c r="E20" s="17">
        <f>IFERROR(ABS(Income_Statement!E9)*Assumptions!$C$19/365,0)</f>
        <v/>
      </c>
      <c r="F20" s="17">
        <f>IFERROR(ABS(Income_Statement!F9)*Assumptions!$C$19/365,0)</f>
        <v/>
      </c>
      <c r="G20" s="17">
        <f>IFERROR(ABS(Income_Statement!G9)*Assumptions!$C$19/365,0)</f>
        <v/>
      </c>
      <c r="H20" s="17">
        <f>IFERROR(ABS(Income_Statement!H9)*Assumptions!$C$19/365,0)</f>
        <v/>
      </c>
      <c r="I20" s="17">
        <f>IFERROR(ABS(Income_Statement!I9)*Assumptions!$C$19/365,0)</f>
        <v/>
      </c>
      <c r="J20" s="17">
        <f>IFERROR(ABS(Income_Statement!J9)*Assumptions!$C$19/365,0)</f>
        <v/>
      </c>
      <c r="K20" s="17">
        <f>IFERROR(ABS(Income_Statement!K9)*Assumptions!$C$19/365,0)</f>
        <v/>
      </c>
      <c r="L20" s="17">
        <f>IFERROR(ABS(Income_Statement!L9)*Assumptions!$C$19/365,0)</f>
        <v/>
      </c>
    </row>
    <row r="21">
      <c r="B21" s="5" t="inlineStr">
        <is>
          <t>Accrued Expenses</t>
        </is>
      </c>
      <c r="C21" s="17" t="n">
        <v>600</v>
      </c>
      <c r="D21" s="17">
        <f>C21*1.02</f>
        <v/>
      </c>
      <c r="E21" s="17">
        <f>D21*1.02</f>
        <v/>
      </c>
      <c r="F21" s="17">
        <f>E21*1.02</f>
        <v/>
      </c>
      <c r="G21" s="17">
        <f>F21*1.02</f>
        <v/>
      </c>
      <c r="H21" s="17">
        <f>G21*1.02</f>
        <v/>
      </c>
      <c r="I21" s="17">
        <f>H21*1.02</f>
        <v/>
      </c>
      <c r="J21" s="17">
        <f>I21*1.02</f>
        <v/>
      </c>
      <c r="K21" s="17">
        <f>J21*1.02</f>
        <v/>
      </c>
      <c r="L21" s="17">
        <f>K21*1.02</f>
        <v/>
      </c>
    </row>
    <row r="22">
      <c r="B22" s="5" t="inlineStr">
        <is>
          <t>Short-term Debt</t>
        </is>
      </c>
      <c r="C22" s="17" t="n">
        <v>1000</v>
      </c>
      <c r="D22" s="17">
        <f>C22</f>
        <v/>
      </c>
      <c r="E22" s="17">
        <f>D22</f>
        <v/>
      </c>
      <c r="F22" s="17">
        <f>E22</f>
        <v/>
      </c>
      <c r="G22" s="17">
        <f>F22</f>
        <v/>
      </c>
      <c r="H22" s="17">
        <f>G22</f>
        <v/>
      </c>
      <c r="I22" s="17">
        <f>H22</f>
        <v/>
      </c>
      <c r="J22" s="17">
        <f>I22</f>
        <v/>
      </c>
      <c r="K22" s="17">
        <f>J22</f>
        <v/>
      </c>
      <c r="L22" s="17">
        <f>K22</f>
        <v/>
      </c>
    </row>
    <row r="23">
      <c r="B23" s="16" t="inlineStr">
        <is>
          <t>Total Current Liabilities</t>
        </is>
      </c>
      <c r="C23" s="17">
        <f>C20+C21+C22</f>
        <v/>
      </c>
      <c r="D23" s="17">
        <f>D20+D21+D22</f>
        <v/>
      </c>
      <c r="E23" s="17">
        <f>E20+E21+E22</f>
        <v/>
      </c>
      <c r="F23" s="17">
        <f>F20+F21+F22</f>
        <v/>
      </c>
      <c r="G23" s="17">
        <f>G20+G21+G22</f>
        <v/>
      </c>
      <c r="H23" s="17">
        <f>H20+H21+H22</f>
        <v/>
      </c>
      <c r="I23" s="17">
        <f>I20+I21+I22</f>
        <v/>
      </c>
      <c r="J23" s="17">
        <f>J20+J21+J22</f>
        <v/>
      </c>
      <c r="K23" s="17">
        <f>K20+K21+K22</f>
        <v/>
      </c>
      <c r="L23" s="17">
        <f>L20+L21+L22</f>
        <v/>
      </c>
    </row>
    <row r="25">
      <c r="B25" s="5" t="inlineStr">
        <is>
          <t>Long-term Debt</t>
        </is>
      </c>
      <c r="C25" s="17" t="n">
        <v>5000</v>
      </c>
      <c r="D25" s="17">
        <f>C25</f>
        <v/>
      </c>
      <c r="E25" s="17">
        <f>D25</f>
        <v/>
      </c>
      <c r="F25" s="17">
        <f>E25</f>
        <v/>
      </c>
      <c r="G25" s="17">
        <f>F25</f>
        <v/>
      </c>
      <c r="H25" s="17">
        <f>G25</f>
        <v/>
      </c>
      <c r="I25" s="17">
        <f>H25</f>
        <v/>
      </c>
      <c r="J25" s="17">
        <f>I25</f>
        <v/>
      </c>
      <c r="K25" s="17">
        <f>J25</f>
        <v/>
      </c>
      <c r="L25" s="17">
        <f>K25</f>
        <v/>
      </c>
    </row>
    <row r="26">
      <c r="B26" s="5" t="inlineStr">
        <is>
          <t>Other Non-Current Liabilities</t>
        </is>
      </c>
      <c r="C26" s="17" t="n">
        <v>400</v>
      </c>
      <c r="D26" s="17">
        <f>C26*1.01</f>
        <v/>
      </c>
      <c r="E26" s="17">
        <f>D26*1.01</f>
        <v/>
      </c>
      <c r="F26" s="17">
        <f>E26*1.01</f>
        <v/>
      </c>
      <c r="G26" s="17">
        <f>F26*1.01</f>
        <v/>
      </c>
      <c r="H26" s="17">
        <f>G26*1.01</f>
        <v/>
      </c>
      <c r="I26" s="17">
        <f>H26*1.01</f>
        <v/>
      </c>
      <c r="J26" s="17">
        <f>I26*1.01</f>
        <v/>
      </c>
      <c r="K26" s="17">
        <f>J26*1.01</f>
        <v/>
      </c>
      <c r="L26" s="17">
        <f>K26*1.01</f>
        <v/>
      </c>
    </row>
    <row r="27">
      <c r="B27" s="16" t="inlineStr">
        <is>
          <t>Total Liabilities</t>
        </is>
      </c>
      <c r="C27" s="17">
        <f>C23+C25+C26</f>
        <v/>
      </c>
      <c r="D27" s="17">
        <f>D23+D25+D26</f>
        <v/>
      </c>
      <c r="E27" s="17">
        <f>E23+E25+E26</f>
        <v/>
      </c>
      <c r="F27" s="17">
        <f>F23+F25+F26</f>
        <v/>
      </c>
      <c r="G27" s="17">
        <f>G23+G25+G26</f>
        <v/>
      </c>
      <c r="H27" s="17">
        <f>H23+H25+H26</f>
        <v/>
      </c>
      <c r="I27" s="17">
        <f>I23+I25+I26</f>
        <v/>
      </c>
      <c r="J27" s="17">
        <f>J23+J25+J26</f>
        <v/>
      </c>
      <c r="K27" s="17">
        <f>K23+K25+K26</f>
        <v/>
      </c>
      <c r="L27" s="17">
        <f>L23+L25+L26</f>
        <v/>
      </c>
    </row>
    <row r="29">
      <c r="B29" s="4" t="inlineStr">
        <is>
          <t>EQUITY</t>
        </is>
      </c>
    </row>
    <row r="30">
      <c r="B30" s="5" t="inlineStr">
        <is>
          <t>Share Capital</t>
        </is>
      </c>
      <c r="C30" s="17" t="n">
        <v>4000</v>
      </c>
      <c r="D30" s="17">
        <f>C30</f>
        <v/>
      </c>
      <c r="E30" s="17">
        <f>D30</f>
        <v/>
      </c>
      <c r="F30" s="17">
        <f>E30</f>
        <v/>
      </c>
      <c r="G30" s="17">
        <f>F30</f>
        <v/>
      </c>
      <c r="H30" s="17">
        <f>G30</f>
        <v/>
      </c>
      <c r="I30" s="17">
        <f>H30</f>
        <v/>
      </c>
      <c r="J30" s="17">
        <f>I30</f>
        <v/>
      </c>
      <c r="K30" s="17">
        <f>J30</f>
        <v/>
      </c>
      <c r="L30" s="17">
        <f>K30</f>
        <v/>
      </c>
    </row>
    <row r="31">
      <c r="B31" s="5" t="inlineStr">
        <is>
          <t>Retained Earnings</t>
        </is>
      </c>
      <c r="C31" s="17" t="n">
        <v>9000</v>
      </c>
      <c r="D31" s="17">
        <f>C31+Income_Statement!D26-Income_Statement!D26*0.2</f>
        <v/>
      </c>
      <c r="E31" s="17">
        <f>D31+Income_Statement!E26-Income_Statement!E26*0.2</f>
        <v/>
      </c>
      <c r="F31" s="17">
        <f>E31+Income_Statement!F26-Income_Statement!F26*0.2</f>
        <v/>
      </c>
      <c r="G31" s="17">
        <f>F31+Income_Statement!G26-Income_Statement!G26*0.2</f>
        <v/>
      </c>
      <c r="H31" s="17">
        <f>G31+Income_Statement!H26-Income_Statement!H26*0.2</f>
        <v/>
      </c>
      <c r="I31" s="17">
        <f>H31+Income_Statement!I26-Income_Statement!I26*0.2</f>
        <v/>
      </c>
      <c r="J31" s="17">
        <f>I31+Income_Statement!J26-Income_Statement!J26*0.2</f>
        <v/>
      </c>
      <c r="K31" s="17">
        <f>J31+Income_Statement!K26-Income_Statement!K26*0.2</f>
        <v/>
      </c>
      <c r="L31" s="17">
        <f>K31+Income_Statement!L26-Income_Statement!L26*0.2</f>
        <v/>
      </c>
    </row>
    <row r="32">
      <c r="B32" s="16" t="inlineStr">
        <is>
          <t>Total Equity</t>
        </is>
      </c>
      <c r="C32" s="17">
        <f>C30+C31</f>
        <v/>
      </c>
      <c r="D32" s="17">
        <f>D30+D31</f>
        <v/>
      </c>
      <c r="E32" s="17">
        <f>E30+E31</f>
        <v/>
      </c>
      <c r="F32" s="17">
        <f>F30+F31</f>
        <v/>
      </c>
      <c r="G32" s="17">
        <f>G30+G31</f>
        <v/>
      </c>
      <c r="H32" s="17">
        <f>H30+H31</f>
        <v/>
      </c>
      <c r="I32" s="17">
        <f>I30+I31</f>
        <v/>
      </c>
      <c r="J32" s="17">
        <f>J30+J31</f>
        <v/>
      </c>
      <c r="K32" s="17">
        <f>K30+K31</f>
        <v/>
      </c>
      <c r="L32" s="17">
        <f>L30+L31</f>
        <v/>
      </c>
    </row>
    <row r="34">
      <c r="B34" s="16" t="inlineStr">
        <is>
          <t>Total Liabilities &amp; Equity</t>
        </is>
      </c>
      <c r="C34" s="19">
        <f>C27+C32</f>
        <v/>
      </c>
      <c r="D34" s="19">
        <f>D27+D32</f>
        <v/>
      </c>
      <c r="E34" s="19">
        <f>E27+E32</f>
        <v/>
      </c>
      <c r="F34" s="19">
        <f>F27+F32</f>
        <v/>
      </c>
      <c r="G34" s="19">
        <f>G27+G32</f>
        <v/>
      </c>
      <c r="H34" s="19">
        <f>H27+H32</f>
        <v/>
      </c>
      <c r="I34" s="19">
        <f>I27+I32</f>
        <v/>
      </c>
      <c r="J34" s="19">
        <f>J27+J32</f>
        <v/>
      </c>
      <c r="K34" s="19">
        <f>K27+K32</f>
        <v/>
      </c>
      <c r="L34" s="19">
        <f>L27+L32</f>
        <v/>
      </c>
    </row>
    <row r="35">
      <c r="B35" s="5" t="inlineStr">
        <is>
          <t>Balance Check (should be 0)</t>
        </is>
      </c>
      <c r="C35" s="19">
        <f>ROUND(C17-C34,0)</f>
        <v/>
      </c>
      <c r="D35" s="19">
        <f>ROUND(D17-D34,0)</f>
        <v/>
      </c>
      <c r="E35" s="19">
        <f>ROUND(E17-E34,0)</f>
        <v/>
      </c>
      <c r="F35" s="19">
        <f>ROUND(F17-F34,0)</f>
        <v/>
      </c>
      <c r="G35" s="19">
        <f>ROUND(G17-G34,0)</f>
        <v/>
      </c>
      <c r="H35" s="19">
        <f>ROUND(H17-H34,0)</f>
        <v/>
      </c>
      <c r="I35" s="19">
        <f>ROUND(I17-I34,0)</f>
        <v/>
      </c>
      <c r="J35" s="19">
        <f>ROUND(J17-J34,0)</f>
        <v/>
      </c>
      <c r="K35" s="19">
        <f>ROUND(K17-K34,0)</f>
        <v/>
      </c>
      <c r="L35" s="19">
        <f>ROUND(L17-L34,0)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>
      <c r="B2" s="1" t="inlineStr">
        <is>
          <t>Cash Flow Statement (₹ Crores)</t>
        </is>
      </c>
    </row>
    <row r="4">
      <c r="C4" s="15" t="inlineStr">
        <is>
          <t>FY2021</t>
        </is>
      </c>
      <c r="D4" s="15" t="inlineStr">
        <is>
          <t>FY2022</t>
        </is>
      </c>
      <c r="E4" s="15" t="inlineStr">
        <is>
          <t>FY2023</t>
        </is>
      </c>
      <c r="F4" s="15" t="inlineStr">
        <is>
          <t>FY2024</t>
        </is>
      </c>
      <c r="G4" s="15" t="inlineStr">
        <is>
          <t>FY2025</t>
        </is>
      </c>
      <c r="H4" s="15" t="inlineStr">
        <is>
          <t>FY2026E</t>
        </is>
      </c>
      <c r="I4" s="15" t="inlineStr">
        <is>
          <t>FY2027E</t>
        </is>
      </c>
      <c r="J4" s="15" t="inlineStr">
        <is>
          <t>FY2028E</t>
        </is>
      </c>
      <c r="K4" s="15" t="inlineStr">
        <is>
          <t>FY2029E</t>
        </is>
      </c>
      <c r="L4" s="15" t="inlineStr">
        <is>
          <t>FY2030E</t>
        </is>
      </c>
    </row>
    <row r="6">
      <c r="B6" s="4" t="inlineStr">
        <is>
          <t>OPERATING ACTIVITIES</t>
        </is>
      </c>
    </row>
    <row r="7">
      <c r="B7" s="5" t="inlineStr">
        <is>
          <t>Net Income</t>
        </is>
      </c>
      <c r="C7" s="17">
        <f>Income_Statement!C26</f>
        <v/>
      </c>
      <c r="D7" s="17">
        <f>Income_Statement!D26</f>
        <v/>
      </c>
      <c r="E7" s="17">
        <f>Income_Statement!E26</f>
        <v/>
      </c>
      <c r="F7" s="17">
        <f>Income_Statement!F26</f>
        <v/>
      </c>
      <c r="G7" s="17">
        <f>Income_Statement!G26</f>
        <v/>
      </c>
      <c r="H7" s="17">
        <f>Income_Statement!H26</f>
        <v/>
      </c>
      <c r="I7" s="17">
        <f>Income_Statement!I26</f>
        <v/>
      </c>
      <c r="J7" s="17">
        <f>Income_Statement!J26</f>
        <v/>
      </c>
      <c r="K7" s="17">
        <f>Income_Statement!K26</f>
        <v/>
      </c>
      <c r="L7" s="17">
        <f>Income_Statement!L26</f>
        <v/>
      </c>
    </row>
    <row r="8">
      <c r="B8" s="5" t="inlineStr">
        <is>
          <t>Add: Depreciation</t>
        </is>
      </c>
      <c r="C8" s="17">
        <f>-Income_Statement!C18</f>
        <v/>
      </c>
      <c r="D8" s="17">
        <f>-Income_Statement!D18</f>
        <v/>
      </c>
      <c r="E8" s="17">
        <f>-Income_Statement!E18</f>
        <v/>
      </c>
      <c r="F8" s="17">
        <f>-Income_Statement!F18</f>
        <v/>
      </c>
      <c r="G8" s="17">
        <f>-Income_Statement!G18</f>
        <v/>
      </c>
      <c r="H8" s="17">
        <f>-Income_Statement!H18</f>
        <v/>
      </c>
      <c r="I8" s="17">
        <f>-Income_Statement!I18</f>
        <v/>
      </c>
      <c r="J8" s="17">
        <f>-Income_Statement!J18</f>
        <v/>
      </c>
      <c r="K8" s="17">
        <f>-Income_Statement!K18</f>
        <v/>
      </c>
      <c r="L8" s="17">
        <f>-Income_Statement!L18</f>
        <v/>
      </c>
    </row>
    <row r="9">
      <c r="B9" s="5" t="inlineStr">
        <is>
          <t>Change in Receivables</t>
        </is>
      </c>
      <c r="C9" s="17" t="n">
        <v>0</v>
      </c>
      <c r="D9" s="17">
        <f>-(D7/Income_Statement!D6)*Balance_Sheet!D8+(C7/Income_Statement!C6)*Balance_Sheet!C8</f>
        <v/>
      </c>
      <c r="E9" s="17">
        <f>-(E7/Income_Statement!E6)*Balance_Sheet!E8+(D7/Income_Statement!D6)*Balance_Sheet!D8</f>
        <v/>
      </c>
      <c r="F9" s="17">
        <f>-(F7/Income_Statement!F6)*Balance_Sheet!F8+(E7/Income_Statement!E6)*Balance_Sheet!E8</f>
        <v/>
      </c>
      <c r="G9" s="17">
        <f>-(G7/Income_Statement!G6)*Balance_Sheet!G8+(F7/Income_Statement!F6)*Balance_Sheet!F8</f>
        <v/>
      </c>
      <c r="H9" s="17">
        <f>-(H7/Income_Statement!H6)*Balance_Sheet!H8+(G7/Income_Statement!G6)*Balance_Sheet!G8</f>
        <v/>
      </c>
      <c r="I9" s="17">
        <f>-(I7/Income_Statement!I6)*Balance_Sheet!I8+(H7/Income_Statement!H6)*Balance_Sheet!H8</f>
        <v/>
      </c>
      <c r="J9" s="17">
        <f>-(J7/Income_Statement!J6)*Balance_Sheet!J8+(I7/Income_Statement!I6)*Balance_Sheet!I8</f>
        <v/>
      </c>
      <c r="K9" s="17">
        <f>-(K7/Income_Statement!K6)*Balance_Sheet!K8+(J7/Income_Statement!J6)*Balance_Sheet!J8</f>
        <v/>
      </c>
      <c r="L9" s="17">
        <f>-(L7/Income_Statement!L6)*Balance_Sheet!L8+(K7/Income_Statement!K6)*Balance_Sheet!K8</f>
        <v/>
      </c>
    </row>
    <row r="10">
      <c r="B10" s="5" t="inlineStr">
        <is>
          <t>Change in Inventory</t>
        </is>
      </c>
      <c r="C10" s="17" t="n">
        <v>0</v>
      </c>
      <c r="D10" s="17">
        <f>Balance_Sheet!C9-Balance_Sheet!D9</f>
        <v/>
      </c>
      <c r="E10" s="17">
        <f>Balance_Sheet!D9-Balance_Sheet!E9</f>
        <v/>
      </c>
      <c r="F10" s="17">
        <f>Balance_Sheet!E9-Balance_Sheet!F9</f>
        <v/>
      </c>
      <c r="G10" s="17">
        <f>Balance_Sheet!F9-Balance_Sheet!G9</f>
        <v/>
      </c>
      <c r="H10" s="17">
        <f>Balance_Sheet!G9-Balance_Sheet!H9</f>
        <v/>
      </c>
      <c r="I10" s="17">
        <f>Balance_Sheet!H9-Balance_Sheet!I9</f>
        <v/>
      </c>
      <c r="J10" s="17">
        <f>Balance_Sheet!I9-Balance_Sheet!J9</f>
        <v/>
      </c>
      <c r="K10" s="17">
        <f>Balance_Sheet!J9-Balance_Sheet!K9</f>
        <v/>
      </c>
      <c r="L10" s="17">
        <f>Balance_Sheet!K9-Balance_Sheet!L9</f>
        <v/>
      </c>
    </row>
    <row r="11">
      <c r="B11" s="5" t="inlineStr">
        <is>
          <t>Change in Payables</t>
        </is>
      </c>
      <c r="C11" s="17" t="n">
        <v>0</v>
      </c>
      <c r="D11" s="17">
        <f>Balance_Sheet!D20-Balance_Sheet!C20</f>
        <v/>
      </c>
      <c r="E11" s="17">
        <f>Balance_Sheet!E20-Balance_Sheet!D20</f>
        <v/>
      </c>
      <c r="F11" s="17">
        <f>Balance_Sheet!F20-Balance_Sheet!E20</f>
        <v/>
      </c>
      <c r="G11" s="17">
        <f>Balance_Sheet!G20-Balance_Sheet!F20</f>
        <v/>
      </c>
      <c r="H11" s="17">
        <f>Balance_Sheet!H20-Balance_Sheet!G20</f>
        <v/>
      </c>
      <c r="I11" s="17">
        <f>Balance_Sheet!I20-Balance_Sheet!H20</f>
        <v/>
      </c>
      <c r="J11" s="17">
        <f>Balance_Sheet!J20-Balance_Sheet!I20</f>
        <v/>
      </c>
      <c r="K11" s="17">
        <f>Balance_Sheet!K20-Balance_Sheet!J20</f>
        <v/>
      </c>
      <c r="L11" s="17">
        <f>Balance_Sheet!L20-Balance_Sheet!K20</f>
        <v/>
      </c>
    </row>
    <row r="12">
      <c r="B12" s="5" t="inlineStr">
        <is>
          <t>Change in Other Working Capital</t>
        </is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</row>
    <row r="13">
      <c r="B13" s="16" t="inlineStr">
        <is>
          <t>Operating Cash Flow</t>
        </is>
      </c>
      <c r="C13" s="8">
        <f>SUM(C7:C12)</f>
        <v/>
      </c>
      <c r="D13" s="8">
        <f>SUM(D7:D12)</f>
        <v/>
      </c>
      <c r="E13" s="8">
        <f>SUM(E7:E12)</f>
        <v/>
      </c>
      <c r="F13" s="8">
        <f>SUM(F7:F12)</f>
        <v/>
      </c>
      <c r="G13" s="8">
        <f>SUM(G7:G12)</f>
        <v/>
      </c>
      <c r="H13" s="8">
        <f>SUM(H7:H12)</f>
        <v/>
      </c>
      <c r="I13" s="8">
        <f>SUM(I7:I12)</f>
        <v/>
      </c>
      <c r="J13" s="8">
        <f>SUM(J7:J12)</f>
        <v/>
      </c>
      <c r="K13" s="8">
        <f>SUM(K7:K12)</f>
        <v/>
      </c>
      <c r="L13" s="8">
        <f>SUM(L7:L12)</f>
        <v/>
      </c>
    </row>
    <row r="15">
      <c r="B15" s="4" t="inlineStr">
        <is>
          <t>INVESTING ACTIVITIES</t>
        </is>
      </c>
    </row>
    <row r="16">
      <c r="B16" s="5" t="inlineStr">
        <is>
          <t>Capital Expenditure</t>
        </is>
      </c>
      <c r="C16" s="17">
        <f>-Income_Statement!C6*Assumptions!$C$21</f>
        <v/>
      </c>
      <c r="D16" s="17">
        <f>-Income_Statement!D6*Assumptions!$C$21</f>
        <v/>
      </c>
      <c r="E16" s="17">
        <f>-Income_Statement!E6*Assumptions!$C$21</f>
        <v/>
      </c>
      <c r="F16" s="17">
        <f>-Income_Statement!F6*Assumptions!$C$21</f>
        <v/>
      </c>
      <c r="G16" s="17">
        <f>-Income_Statement!G6*Assumptions!$C$21</f>
        <v/>
      </c>
      <c r="H16" s="17">
        <f>-Income_Statement!H6*Assumptions!$C$21</f>
        <v/>
      </c>
      <c r="I16" s="17">
        <f>-Income_Statement!I6*Assumptions!$C$21</f>
        <v/>
      </c>
      <c r="J16" s="17">
        <f>-Income_Statement!J6*Assumptions!$C$21</f>
        <v/>
      </c>
      <c r="K16" s="17">
        <f>-Income_Statement!K6*Assumptions!$C$21</f>
        <v/>
      </c>
      <c r="L16" s="17">
        <f>-Income_Statement!L6*Assumptions!$C$21</f>
        <v/>
      </c>
    </row>
    <row r="17">
      <c r="B17" s="5" t="inlineStr">
        <is>
          <t>Other Investing</t>
        </is>
      </c>
      <c r="C17" s="17" t="n">
        <v>0</v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</row>
    <row r="18">
      <c r="B18" s="16" t="inlineStr">
        <is>
          <t>Investing Cash Flow</t>
        </is>
      </c>
      <c r="C18" s="17">
        <f>C16+C17</f>
        <v/>
      </c>
      <c r="D18" s="17">
        <f>D16+D17</f>
        <v/>
      </c>
      <c r="E18" s="17">
        <f>E16+E17</f>
        <v/>
      </c>
      <c r="F18" s="17">
        <f>F16+F17</f>
        <v/>
      </c>
      <c r="G18" s="17">
        <f>G16+G17</f>
        <v/>
      </c>
      <c r="H18" s="17">
        <f>H16+H17</f>
        <v/>
      </c>
      <c r="I18" s="17">
        <f>I16+I17</f>
        <v/>
      </c>
      <c r="J18" s="17">
        <f>J16+J17</f>
        <v/>
      </c>
      <c r="K18" s="17">
        <f>K16+K17</f>
        <v/>
      </c>
      <c r="L18" s="17">
        <f>L16+L17</f>
        <v/>
      </c>
    </row>
    <row r="20">
      <c r="B20" s="4" t="inlineStr">
        <is>
          <t>FINANCING ACTIVITIES</t>
        </is>
      </c>
    </row>
    <row r="21">
      <c r="B21" s="5" t="inlineStr">
        <is>
          <t>Dividends Paid</t>
        </is>
      </c>
      <c r="C21" s="17">
        <f>-Income_Statement!C26*0.2</f>
        <v/>
      </c>
      <c r="D21" s="17">
        <f>-Income_Statement!D26*0.2</f>
        <v/>
      </c>
      <c r="E21" s="17">
        <f>-Income_Statement!E26*0.2</f>
        <v/>
      </c>
      <c r="F21" s="17">
        <f>-Income_Statement!F26*0.2</f>
        <v/>
      </c>
      <c r="G21" s="17">
        <f>-Income_Statement!G26*0.2</f>
        <v/>
      </c>
      <c r="H21" s="17">
        <f>-Income_Statement!H26*0.2</f>
        <v/>
      </c>
      <c r="I21" s="17">
        <f>-Income_Statement!I26*0.2</f>
        <v/>
      </c>
      <c r="J21" s="17">
        <f>-Income_Statement!J26*0.2</f>
        <v/>
      </c>
      <c r="K21" s="17">
        <f>-Income_Statement!K26*0.2</f>
        <v/>
      </c>
      <c r="L21" s="17">
        <f>-Income_Statement!L26*0.2</f>
        <v/>
      </c>
    </row>
    <row r="22">
      <c r="B22" s="5" t="inlineStr">
        <is>
          <t>Change in Debt</t>
        </is>
      </c>
      <c r="C22" s="17" t="n">
        <v>0</v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</row>
    <row r="23">
      <c r="B23" s="16" t="inlineStr">
        <is>
          <t>Financing Cash Flow</t>
        </is>
      </c>
      <c r="C23" s="17">
        <f>C21+C22</f>
        <v/>
      </c>
      <c r="D23" s="17">
        <f>D21+D22</f>
        <v/>
      </c>
      <c r="E23" s="17">
        <f>E21+E22</f>
        <v/>
      </c>
      <c r="F23" s="17">
        <f>F21+F22</f>
        <v/>
      </c>
      <c r="G23" s="17">
        <f>G21+G22</f>
        <v/>
      </c>
      <c r="H23" s="17">
        <f>H21+H22</f>
        <v/>
      </c>
      <c r="I23" s="17">
        <f>I21+I22</f>
        <v/>
      </c>
      <c r="J23" s="17">
        <f>J21+J22</f>
        <v/>
      </c>
      <c r="K23" s="17">
        <f>K21+K22</f>
        <v/>
      </c>
      <c r="L23" s="17">
        <f>L21+L22</f>
        <v/>
      </c>
    </row>
    <row r="25">
      <c r="B25" s="16" t="inlineStr">
        <is>
          <t>Net Change in Cash</t>
        </is>
      </c>
      <c r="C25" s="8">
        <f>C13+C18+C23</f>
        <v/>
      </c>
      <c r="D25" s="8">
        <f>D13+D18+D23</f>
        <v/>
      </c>
      <c r="E25" s="8">
        <f>E13+E18+E23</f>
        <v/>
      </c>
      <c r="F25" s="8">
        <f>F13+F18+F23</f>
        <v/>
      </c>
      <c r="G25" s="8">
        <f>G13+G18+G23</f>
        <v/>
      </c>
      <c r="H25" s="8">
        <f>H13+H18+H23</f>
        <v/>
      </c>
      <c r="I25" s="8">
        <f>I13+I18+I23</f>
        <v/>
      </c>
      <c r="J25" s="8">
        <f>J13+J18+J23</f>
        <v/>
      </c>
      <c r="K25" s="8">
        <f>K13+K18+K23</f>
        <v/>
      </c>
      <c r="L25" s="8">
        <f>L13+L18+L23</f>
        <v/>
      </c>
    </row>
    <row r="26">
      <c r="B26" s="5" t="inlineStr">
        <is>
          <t>Opening Cash</t>
        </is>
      </c>
      <c r="C26" s="17" t="n">
        <v>2000</v>
      </c>
      <c r="D26" s="17">
        <f>Balance_Sheet!C7</f>
        <v/>
      </c>
      <c r="E26" s="17">
        <f>Balance_Sheet!D7</f>
        <v/>
      </c>
      <c r="F26" s="17">
        <f>Balance_Sheet!E7</f>
        <v/>
      </c>
      <c r="G26" s="17">
        <f>Balance_Sheet!F7</f>
        <v/>
      </c>
      <c r="H26" s="17">
        <f>Balance_Sheet!G7</f>
        <v/>
      </c>
      <c r="I26" s="17">
        <f>Balance_Sheet!H7</f>
        <v/>
      </c>
      <c r="J26" s="17">
        <f>Balance_Sheet!I7</f>
        <v/>
      </c>
      <c r="K26" s="17">
        <f>Balance_Sheet!J7</f>
        <v/>
      </c>
      <c r="L26" s="17">
        <f>Balance_Sheet!K7</f>
        <v/>
      </c>
    </row>
    <row r="27">
      <c r="B27" s="16" t="inlineStr">
        <is>
          <t>Closing Cash</t>
        </is>
      </c>
      <c r="C27" s="8">
        <f>C26+C25</f>
        <v/>
      </c>
      <c r="D27" s="8">
        <f>D26+D25</f>
        <v/>
      </c>
      <c r="E27" s="8">
        <f>E26+E25</f>
        <v/>
      </c>
      <c r="F27" s="8">
        <f>F26+F25</f>
        <v/>
      </c>
      <c r="G27" s="8">
        <f>G26+G25</f>
        <v/>
      </c>
      <c r="H27" s="8">
        <f>H26+H25</f>
        <v/>
      </c>
      <c r="I27" s="8">
        <f>I26+I25</f>
        <v/>
      </c>
      <c r="J27" s="8">
        <f>J26+J25</f>
        <v/>
      </c>
      <c r="K27" s="8">
        <f>K26+K25</f>
        <v/>
      </c>
      <c r="L27" s="8">
        <f>L26+L25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5" customWidth="1" min="3" max="3"/>
  </cols>
  <sheetData>
    <row r="2">
      <c r="B2" s="1" t="inlineStr">
        <is>
          <t>DCF Valuation (₹ Crores)</t>
        </is>
      </c>
    </row>
    <row r="5">
      <c r="B5" s="4" t="inlineStr">
        <is>
          <t>WACC CALCULATION</t>
        </is>
      </c>
    </row>
    <row r="6">
      <c r="B6" s="5" t="inlineStr">
        <is>
          <t>Risk-free Rate</t>
        </is>
      </c>
      <c r="C6" s="18">
        <f>Assumptions!$C$30</f>
        <v/>
      </c>
    </row>
    <row r="7">
      <c r="B7" s="5" t="inlineStr">
        <is>
          <t>Equity Risk Premium</t>
        </is>
      </c>
      <c r="C7" s="18">
        <f>Assumptions!$C$31</f>
        <v/>
      </c>
    </row>
    <row r="8">
      <c r="B8" s="5" t="inlineStr">
        <is>
          <t>Beta</t>
        </is>
      </c>
      <c r="C8" s="20">
        <f>Assumptions!$C$32</f>
        <v/>
      </c>
    </row>
    <row r="9">
      <c r="B9" s="5" t="inlineStr">
        <is>
          <t>Cost of Equity</t>
        </is>
      </c>
      <c r="C9" s="18">
        <f>C6+C7*C8</f>
        <v/>
      </c>
    </row>
    <row r="11">
      <c r="B11" s="5" t="inlineStr">
        <is>
          <t>Cost of Debt (pre-tax)</t>
        </is>
      </c>
      <c r="C11" s="18">
        <f>Assumptions!$C$26</f>
        <v/>
      </c>
    </row>
    <row r="12">
      <c r="B12" s="5" t="inlineStr">
        <is>
          <t>Tax Rate</t>
        </is>
      </c>
      <c r="C12" s="18">
        <f>Assumptions!$C$34</f>
        <v/>
      </c>
    </row>
    <row r="13">
      <c r="B13" s="5" t="inlineStr">
        <is>
          <t>Cost of Debt (post-tax)</t>
        </is>
      </c>
      <c r="C13" s="18">
        <f>C11*(1-C12)</f>
        <v/>
      </c>
    </row>
    <row r="15">
      <c r="B15" s="5" t="inlineStr">
        <is>
          <t>Target D/E Ratio</t>
        </is>
      </c>
      <c r="C15" s="20">
        <f>Assumptions!$C$27</f>
        <v/>
      </c>
    </row>
    <row r="16">
      <c r="B16" s="5" t="inlineStr">
        <is>
          <t>Weight of Equity</t>
        </is>
      </c>
      <c r="C16" s="18">
        <f>1/(1+C15)</f>
        <v/>
      </c>
    </row>
    <row r="17">
      <c r="B17" s="5" t="inlineStr">
        <is>
          <t>Weight of Debt</t>
        </is>
      </c>
      <c r="C17" s="18">
        <f>C15/(1+C15)</f>
        <v/>
      </c>
    </row>
    <row r="19">
      <c r="B19" s="16" t="inlineStr">
        <is>
          <t>WACC</t>
        </is>
      </c>
      <c r="C19" s="9">
        <f>C16*C9+C17*C13</f>
        <v/>
      </c>
    </row>
    <row r="22">
      <c r="B22" s="4" t="inlineStr">
        <is>
          <t>DCF VALUATION</t>
        </is>
      </c>
    </row>
    <row r="23">
      <c r="C23" s="15" t="inlineStr">
        <is>
          <t>Year 1</t>
        </is>
      </c>
      <c r="D23" s="15" t="inlineStr">
        <is>
          <t>Year 2</t>
        </is>
      </c>
      <c r="E23" s="15" t="inlineStr">
        <is>
          <t>Year 3</t>
        </is>
      </c>
      <c r="F23" s="15" t="inlineStr">
        <is>
          <t>Year 4</t>
        </is>
      </c>
      <c r="G23" s="15" t="inlineStr">
        <is>
          <t>Year 5</t>
        </is>
      </c>
    </row>
    <row r="24">
      <c r="B24" s="5" t="inlineStr">
        <is>
          <t>Free Cash Flow to Firm</t>
        </is>
      </c>
      <c r="C24" s="17">
        <f>Income_Statement!H15+Income_Statement!H18+Cash_Flow!H19</f>
        <v/>
      </c>
      <c r="D24" s="17">
        <f>Income_Statement!I15+Income_Statement!I18+Cash_Flow!I19</f>
        <v/>
      </c>
      <c r="E24" s="17">
        <f>Income_Statement!J15+Income_Statement!J18+Cash_Flow!J19</f>
        <v/>
      </c>
      <c r="F24" s="17">
        <f>Income_Statement!K15+Income_Statement!K18+Cash_Flow!K19</f>
        <v/>
      </c>
      <c r="G24" s="17">
        <f>Income_Statement!L15+Income_Statement!L18+Cash_Flow!L19</f>
        <v/>
      </c>
    </row>
    <row r="25">
      <c r="B25" s="5" t="inlineStr">
        <is>
          <t>Discount Factor</t>
        </is>
      </c>
      <c r="C25" s="21">
        <f>1/(1+$C$19)^1</f>
        <v/>
      </c>
      <c r="D25" s="21">
        <f>1/(1+$C$19)^2</f>
        <v/>
      </c>
      <c r="E25" s="21">
        <f>1/(1+$C$19)^3</f>
        <v/>
      </c>
      <c r="F25" s="21">
        <f>1/(1+$C$19)^4</f>
        <v/>
      </c>
      <c r="G25" s="21">
        <f>1/(1+$C$19)^5</f>
        <v/>
      </c>
    </row>
    <row r="26">
      <c r="B26" s="16" t="inlineStr">
        <is>
          <t>Present Value of FCFF</t>
        </is>
      </c>
      <c r="C26" s="19">
        <f>C24*C25</f>
        <v/>
      </c>
      <c r="D26" s="19">
        <f>D24*D25</f>
        <v/>
      </c>
      <c r="E26" s="19">
        <f>E24*E25</f>
        <v/>
      </c>
      <c r="F26" s="19">
        <f>F24*F25</f>
        <v/>
      </c>
      <c r="G26" s="19">
        <f>G24*G25</f>
        <v/>
      </c>
    </row>
    <row r="28">
      <c r="B28" s="5" t="inlineStr">
        <is>
          <t>Terminal Growth Rate</t>
        </is>
      </c>
      <c r="C28" s="22">
        <f>Assumptions!$C$33</f>
        <v/>
      </c>
    </row>
    <row r="29">
      <c r="B29" s="5" t="inlineStr">
        <is>
          <t>Terminal Value</t>
        </is>
      </c>
      <c r="C29" s="17">
        <f>IFERROR(G24*(1+C28)/($C$19-C28),0)</f>
        <v/>
      </c>
    </row>
    <row r="30">
      <c r="B30" s="5" t="inlineStr">
        <is>
          <t>PV of Terminal Value</t>
        </is>
      </c>
      <c r="C30" s="19">
        <f>C29*G25</f>
        <v/>
      </c>
    </row>
    <row r="32">
      <c r="B32" s="4" t="inlineStr">
        <is>
          <t>VALUATION SUMMARY</t>
        </is>
      </c>
    </row>
    <row r="33">
      <c r="B33" s="5" t="inlineStr">
        <is>
          <t>Sum of PV of FCFF</t>
        </is>
      </c>
      <c r="C33" s="17">
        <f>SUM(C26:G26)</f>
        <v/>
      </c>
    </row>
    <row r="34">
      <c r="B34" s="5" t="inlineStr">
        <is>
          <t>PV of Terminal Value</t>
        </is>
      </c>
      <c r="C34" s="17">
        <f>C31</f>
        <v/>
      </c>
    </row>
    <row r="35">
      <c r="B35" s="16" t="inlineStr">
        <is>
          <t>Enterprise Value</t>
        </is>
      </c>
      <c r="C35" s="8">
        <f>C33+C34</f>
        <v/>
      </c>
    </row>
    <row r="36">
      <c r="B36" s="5" t="inlineStr">
        <is>
          <t>Less: Net Debt</t>
        </is>
      </c>
      <c r="C36" s="17">
        <f>Balance_Sheet!L25+Balance_Sheet!L22-Balance_Sheet!L7</f>
        <v/>
      </c>
    </row>
    <row r="37">
      <c r="B37" s="16" t="inlineStr">
        <is>
          <t>Equity Value</t>
        </is>
      </c>
      <c r="C37" s="8">
        <f>C35+C36</f>
        <v/>
      </c>
    </row>
    <row r="39">
      <c r="B39" s="5" t="inlineStr">
        <is>
          <t>Shares Outstanding (Cr)</t>
        </is>
      </c>
      <c r="C39" s="23">
        <f>Assumptions!$C$37</f>
        <v/>
      </c>
    </row>
    <row r="40">
      <c r="B40" s="16" t="inlineStr">
        <is>
          <t>Implied Share Price (₹)</t>
        </is>
      </c>
      <c r="C40" s="7">
        <f>IFERROR(C37/C39*10,0)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I27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2">
      <c r="B2" s="1" t="inlineStr">
        <is>
          <t>Sensitivity Analysis</t>
        </is>
      </c>
    </row>
    <row r="5">
      <c r="B5" s="4" t="inlineStr">
        <is>
          <t>WACC vs Terminal Growth Sensitivity</t>
        </is>
      </c>
    </row>
    <row r="7">
      <c r="B7" s="15" t="inlineStr">
        <is>
          <t>WACC \ TG</t>
        </is>
      </c>
      <c r="C7" s="24" t="n">
        <v>0.02</v>
      </c>
      <c r="D7" s="24" t="n">
        <v>0.025</v>
      </c>
      <c r="E7" s="24" t="n">
        <v>0.03</v>
      </c>
      <c r="F7" s="24" t="n">
        <v>0.035</v>
      </c>
      <c r="G7" s="24" t="n">
        <v>0.04</v>
      </c>
      <c r="H7" s="24" t="n">
        <v>0.045</v>
      </c>
      <c r="I7" s="24" t="n">
        <v>0.05</v>
      </c>
    </row>
    <row r="8">
      <c r="B8" s="24" t="n">
        <v>0.08</v>
      </c>
      <c r="C8" s="17">
        <f>IFERROR(1000*(1+0.02)/(0.08-0.02),0)</f>
        <v/>
      </c>
      <c r="D8" s="17">
        <f>IFERROR(1000*(1+0.025)/(0.08-0.025),0)</f>
        <v/>
      </c>
      <c r="E8" s="17">
        <f>IFERROR(1000*(1+0.03)/(0.08-0.03),0)</f>
        <v/>
      </c>
      <c r="F8" s="17">
        <f>IFERROR(1000*(1+0.035)/(0.08-0.035),0)</f>
        <v/>
      </c>
      <c r="G8" s="17">
        <f>IFERROR(1000*(1+0.04)/(0.08-0.04),0)</f>
        <v/>
      </c>
      <c r="H8" s="17">
        <f>IFERROR(1000*(1+0.045)/(0.08-0.045),0)</f>
        <v/>
      </c>
      <c r="I8" s="17">
        <f>IFERROR(1000*(1+0.05)/(0.08-0.05),0)</f>
        <v/>
      </c>
    </row>
    <row r="9">
      <c r="B9" s="24" t="n">
        <v>0.09</v>
      </c>
      <c r="C9" s="17">
        <f>IFERROR(1000*(1+0.02)/(0.09-0.02),0)</f>
        <v/>
      </c>
      <c r="D9" s="17">
        <f>IFERROR(1000*(1+0.025)/(0.09-0.025),0)</f>
        <v/>
      </c>
      <c r="E9" s="17">
        <f>IFERROR(1000*(1+0.03)/(0.09-0.03),0)</f>
        <v/>
      </c>
      <c r="F9" s="17">
        <f>IFERROR(1000*(1+0.035)/(0.09-0.035),0)</f>
        <v/>
      </c>
      <c r="G9" s="17">
        <f>IFERROR(1000*(1+0.04)/(0.09-0.04),0)</f>
        <v/>
      </c>
      <c r="H9" s="17">
        <f>IFERROR(1000*(1+0.045)/(0.09-0.045),0)</f>
        <v/>
      </c>
      <c r="I9" s="17">
        <f>IFERROR(1000*(1+0.05)/(0.09-0.05),0)</f>
        <v/>
      </c>
    </row>
    <row r="10">
      <c r="B10" s="24" t="n">
        <v>0.1</v>
      </c>
      <c r="C10" s="17">
        <f>IFERROR(1000*(1+0.02)/(0.1-0.02),0)</f>
        <v/>
      </c>
      <c r="D10" s="17">
        <f>IFERROR(1000*(1+0.025)/(0.1-0.025),0)</f>
        <v/>
      </c>
      <c r="E10" s="17">
        <f>IFERROR(1000*(1+0.03)/(0.1-0.03),0)</f>
        <v/>
      </c>
      <c r="F10" s="17">
        <f>IFERROR(1000*(1+0.035)/(0.1-0.035),0)</f>
        <v/>
      </c>
      <c r="G10" s="17">
        <f>IFERROR(1000*(1+0.04)/(0.1-0.04),0)</f>
        <v/>
      </c>
      <c r="H10" s="17">
        <f>IFERROR(1000*(1+0.045)/(0.1-0.045),0)</f>
        <v/>
      </c>
      <c r="I10" s="17">
        <f>IFERROR(1000*(1+0.05)/(0.1-0.05),0)</f>
        <v/>
      </c>
    </row>
    <row r="11">
      <c r="B11" s="24" t="n">
        <v>0.11</v>
      </c>
      <c r="C11" s="17">
        <f>IFERROR(1000*(1+0.02)/(0.11-0.02),0)</f>
        <v/>
      </c>
      <c r="D11" s="17">
        <f>IFERROR(1000*(1+0.025)/(0.11-0.025),0)</f>
        <v/>
      </c>
      <c r="E11" s="17">
        <f>IFERROR(1000*(1+0.03)/(0.11-0.03),0)</f>
        <v/>
      </c>
      <c r="F11" s="19">
        <f>IFERROR(1000*(1+0.035)/(0.11-0.035),0)</f>
        <v/>
      </c>
      <c r="G11" s="17">
        <f>IFERROR(1000*(1+0.04)/(0.11-0.04),0)</f>
        <v/>
      </c>
      <c r="H11" s="17">
        <f>IFERROR(1000*(1+0.045)/(0.11-0.045),0)</f>
        <v/>
      </c>
      <c r="I11" s="17">
        <f>IFERROR(1000*(1+0.05)/(0.11-0.05),0)</f>
        <v/>
      </c>
    </row>
    <row r="12">
      <c r="B12" s="24" t="n">
        <v>0.12</v>
      </c>
      <c r="C12" s="17">
        <f>IFERROR(1000*(1+0.02)/(0.12-0.02),0)</f>
        <v/>
      </c>
      <c r="D12" s="17">
        <f>IFERROR(1000*(1+0.025)/(0.12-0.025),0)</f>
        <v/>
      </c>
      <c r="E12" s="17">
        <f>IFERROR(1000*(1+0.03)/(0.12-0.03),0)</f>
        <v/>
      </c>
      <c r="F12" s="17">
        <f>IFERROR(1000*(1+0.035)/(0.12-0.035),0)</f>
        <v/>
      </c>
      <c r="G12" s="17">
        <f>IFERROR(1000*(1+0.04)/(0.12-0.04),0)</f>
        <v/>
      </c>
      <c r="H12" s="17">
        <f>IFERROR(1000*(1+0.045)/(0.12-0.045),0)</f>
        <v/>
      </c>
      <c r="I12" s="17">
        <f>IFERROR(1000*(1+0.05)/(0.12-0.05),0)</f>
        <v/>
      </c>
    </row>
    <row r="13">
      <c r="B13" s="24" t="n">
        <v>0.13</v>
      </c>
      <c r="C13" s="17">
        <f>IFERROR(1000*(1+0.02)/(0.13-0.02),0)</f>
        <v/>
      </c>
      <c r="D13" s="17">
        <f>IFERROR(1000*(1+0.025)/(0.13-0.025),0)</f>
        <v/>
      </c>
      <c r="E13" s="17">
        <f>IFERROR(1000*(1+0.03)/(0.13-0.03),0)</f>
        <v/>
      </c>
      <c r="F13" s="17">
        <f>IFERROR(1000*(1+0.035)/(0.13-0.035),0)</f>
        <v/>
      </c>
      <c r="G13" s="17">
        <f>IFERROR(1000*(1+0.04)/(0.13-0.04),0)</f>
        <v/>
      </c>
      <c r="H13" s="17">
        <f>IFERROR(1000*(1+0.045)/(0.13-0.045),0)</f>
        <v/>
      </c>
      <c r="I13" s="17">
        <f>IFERROR(1000*(1+0.05)/(0.13-0.05),0)</f>
        <v/>
      </c>
    </row>
    <row r="14">
      <c r="B14" s="24" t="n">
        <v>0.14</v>
      </c>
      <c r="C14" s="17">
        <f>IFERROR(1000*(1+0.02)/(0.14-0.02),0)</f>
        <v/>
      </c>
      <c r="D14" s="17">
        <f>IFERROR(1000*(1+0.025)/(0.14-0.025),0)</f>
        <v/>
      </c>
      <c r="E14" s="17">
        <f>IFERROR(1000*(1+0.03)/(0.14-0.03),0)</f>
        <v/>
      </c>
      <c r="F14" s="17">
        <f>IFERROR(1000*(1+0.035)/(0.14-0.035),0)</f>
        <v/>
      </c>
      <c r="G14" s="17">
        <f>IFERROR(1000*(1+0.04)/(0.14-0.04),0)</f>
        <v/>
      </c>
      <c r="H14" s="17">
        <f>IFERROR(1000*(1+0.045)/(0.14-0.045),0)</f>
        <v/>
      </c>
      <c r="I14" s="17">
        <f>IFERROR(1000*(1+0.05)/(0.14-0.05),0)</f>
        <v/>
      </c>
    </row>
    <row r="18">
      <c r="B18" s="4" t="inlineStr">
        <is>
          <t>Revenue Growth vs EBITDA Margin Impact on EV</t>
        </is>
      </c>
    </row>
    <row r="20">
      <c r="B20" s="15" t="inlineStr">
        <is>
          <t>Growth \ Margin</t>
        </is>
      </c>
      <c r="C20" s="24" t="n">
        <v>0.15</v>
      </c>
      <c r="D20" s="24" t="n">
        <v>0.2</v>
      </c>
      <c r="E20" s="24" t="n">
        <v>0.25</v>
      </c>
      <c r="F20" s="24" t="n">
        <v>0.3</v>
      </c>
      <c r="G20" s="24" t="n">
        <v>0.35</v>
      </c>
    </row>
    <row r="21">
      <c r="B21" s="24" t="n">
        <v>0.05</v>
      </c>
      <c r="C21" s="17">
        <f>10000*((1+0.05)^5)*0.15*8</f>
        <v/>
      </c>
      <c r="D21" s="17">
        <f>10000*((1+0.05)^5)*0.2*8</f>
        <v/>
      </c>
      <c r="E21" s="17">
        <f>10000*((1+0.05)^5)*0.25*8</f>
        <v/>
      </c>
      <c r="F21" s="17">
        <f>10000*((1+0.05)^5)*0.3*8</f>
        <v/>
      </c>
      <c r="G21" s="17">
        <f>10000*((1+0.05)^5)*0.35*8</f>
        <v/>
      </c>
    </row>
    <row r="22">
      <c r="B22" s="24" t="n">
        <v>0.08</v>
      </c>
      <c r="C22" s="17">
        <f>10000*((1+0.08)^5)*0.15*8</f>
        <v/>
      </c>
      <c r="D22" s="17">
        <f>10000*((1+0.08)^5)*0.2*8</f>
        <v/>
      </c>
      <c r="E22" s="17">
        <f>10000*((1+0.08)^5)*0.25*8</f>
        <v/>
      </c>
      <c r="F22" s="17">
        <f>10000*((1+0.08)^5)*0.3*8</f>
        <v/>
      </c>
      <c r="G22" s="17">
        <f>10000*((1+0.08)^5)*0.35*8</f>
        <v/>
      </c>
    </row>
    <row r="23">
      <c r="B23" s="24" t="n">
        <v>0.1</v>
      </c>
      <c r="C23" s="17">
        <f>10000*((1+0.1)^5)*0.15*8</f>
        <v/>
      </c>
      <c r="D23" s="17">
        <f>10000*((1+0.1)^5)*0.2*8</f>
        <v/>
      </c>
      <c r="E23" s="17">
        <f>10000*((1+0.1)^5)*0.25*8</f>
        <v/>
      </c>
      <c r="F23" s="17">
        <f>10000*((1+0.1)^5)*0.3*8</f>
        <v/>
      </c>
      <c r="G23" s="17">
        <f>10000*((1+0.1)^5)*0.35*8</f>
        <v/>
      </c>
    </row>
    <row r="24">
      <c r="B24" s="24" t="n">
        <v>0.12</v>
      </c>
      <c r="C24" s="17">
        <f>10000*((1+0.12)^5)*0.15*8</f>
        <v/>
      </c>
      <c r="D24" s="17">
        <f>10000*((1+0.12)^5)*0.2*8</f>
        <v/>
      </c>
      <c r="E24" s="17">
        <f>10000*((1+0.12)^5)*0.25*8</f>
        <v/>
      </c>
      <c r="F24" s="17">
        <f>10000*((1+0.12)^5)*0.3*8</f>
        <v/>
      </c>
      <c r="G24" s="17">
        <f>10000*((1+0.12)^5)*0.35*8</f>
        <v/>
      </c>
    </row>
    <row r="25">
      <c r="B25" s="24" t="n">
        <v>0.15</v>
      </c>
      <c r="C25" s="17">
        <f>10000*((1+0.15)^5)*0.15*8</f>
        <v/>
      </c>
      <c r="D25" s="17">
        <f>10000*((1+0.15)^5)*0.2*8</f>
        <v/>
      </c>
      <c r="E25" s="17">
        <f>10000*((1+0.15)^5)*0.25*8</f>
        <v/>
      </c>
      <c r="F25" s="17">
        <f>10000*((1+0.15)^5)*0.3*8</f>
        <v/>
      </c>
      <c r="G25" s="17">
        <f>10000*((1+0.15)^5)*0.35*8</f>
        <v/>
      </c>
    </row>
    <row r="26">
      <c r="B26" s="24" t="n">
        <v>0.18</v>
      </c>
      <c r="C26" s="17">
        <f>10000*((1+0.18)^5)*0.15*8</f>
        <v/>
      </c>
      <c r="D26" s="17">
        <f>10000*((1+0.18)^5)*0.2*8</f>
        <v/>
      </c>
      <c r="E26" s="17">
        <f>10000*((1+0.18)^5)*0.25*8</f>
        <v/>
      </c>
      <c r="F26" s="17">
        <f>10000*((1+0.18)^5)*0.3*8</f>
        <v/>
      </c>
      <c r="G26" s="17">
        <f>10000*((1+0.18)^5)*0.35*8</f>
        <v/>
      </c>
    </row>
    <row r="27">
      <c r="B27" s="24" t="n">
        <v>0.2</v>
      </c>
      <c r="C27" s="17">
        <f>10000*((1+0.2)^5)*0.15*8</f>
        <v/>
      </c>
      <c r="D27" s="17">
        <f>10000*((1+0.2)^5)*0.2*8</f>
        <v/>
      </c>
      <c r="E27" s="17">
        <f>10000*((1+0.2)^5)*0.25*8</f>
        <v/>
      </c>
      <c r="F27" s="17">
        <f>10000*((1+0.2)^5)*0.3*8</f>
        <v/>
      </c>
      <c r="G27" s="17">
        <f>10000*((1+0.2)^5)*0.35*8</f>
        <v/>
      </c>
    </row>
  </sheetData>
  <mergeCells count="2">
    <mergeCell ref="B5:H5"/>
    <mergeCell ref="B18:H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1" t="inlineStr">
        <is>
          <t>Scenario Analysis</t>
        </is>
      </c>
    </row>
    <row r="5">
      <c r="B5" s="15" t="inlineStr">
        <is>
          <t>Scenario</t>
        </is>
      </c>
      <c r="C5" s="15" t="inlineStr">
        <is>
          <t>Bear</t>
        </is>
      </c>
      <c r="D5" s="15" t="inlineStr">
        <is>
          <t>Base</t>
        </is>
      </c>
      <c r="E5" s="15" t="inlineStr">
        <is>
          <t>Bull</t>
        </is>
      </c>
    </row>
    <row r="6">
      <c r="B6" s="5" t="inlineStr">
        <is>
          <t>Revenue Growth</t>
        </is>
      </c>
      <c r="C6" s="18" t="n">
        <v>0.05</v>
      </c>
      <c r="D6" s="11" t="n">
        <v>0.1</v>
      </c>
      <c r="E6" s="18" t="n">
        <v>0.15</v>
      </c>
    </row>
    <row r="7">
      <c r="B7" s="5" t="inlineStr">
        <is>
          <t>EBITDA Margin</t>
        </is>
      </c>
      <c r="C7" s="18" t="n">
        <v>0.18</v>
      </c>
      <c r="D7" s="11" t="n">
        <v>0.25</v>
      </c>
      <c r="E7" s="18" t="n">
        <v>0.32</v>
      </c>
    </row>
    <row r="8">
      <c r="B8" s="5" t="inlineStr">
        <is>
          <t>Terminal Growth</t>
        </is>
      </c>
      <c r="C8" s="18" t="n">
        <v>0.02</v>
      </c>
      <c r="D8" s="11" t="n">
        <v>0.04</v>
      </c>
      <c r="E8" s="18" t="n">
        <v>0.05</v>
      </c>
    </row>
    <row r="9">
      <c r="B9" s="5" t="inlineStr">
        <is>
          <t>WACC</t>
        </is>
      </c>
      <c r="C9" s="18" t="n">
        <v>0.14</v>
      </c>
      <c r="D9" s="11" t="n">
        <v>0.11</v>
      </c>
      <c r="E9" s="18" t="n">
        <v>0.09</v>
      </c>
    </row>
    <row r="11">
      <c r="B11" s="4" t="inlineStr">
        <is>
          <t>ASSUMPTIONS</t>
        </is>
      </c>
    </row>
    <row r="12">
      <c r="B12" s="5" t="inlineStr">
        <is>
          <t>Capex % Rev</t>
        </is>
      </c>
      <c r="C12" s="18" t="n">
        <v>0.08</v>
      </c>
      <c r="D12" s="11" t="n">
        <v>0.05</v>
      </c>
      <c r="E12" s="18" t="n">
        <v>0.04</v>
      </c>
    </row>
    <row r="13">
      <c r="B13" s="5" t="inlineStr">
        <is>
          <t>Working Capital Days</t>
        </is>
      </c>
      <c r="C13" s="17" t="n">
        <v>60</v>
      </c>
      <c r="D13" s="13" t="n">
        <v>45</v>
      </c>
      <c r="E13" s="17" t="n">
        <v>35</v>
      </c>
    </row>
    <row r="14">
      <c r="B14" s="5" t="inlineStr">
        <is>
          <t>D/E Ratio</t>
        </is>
      </c>
      <c r="C14" s="20" t="n">
        <v>0.8</v>
      </c>
      <c r="D14" s="14" t="n">
        <v>0.5</v>
      </c>
      <c r="E14" s="20" t="n">
        <v>0.3</v>
      </c>
    </row>
    <row r="15">
      <c r="B15" s="5" t="inlineStr">
        <is>
          <t>Tax Rate</t>
        </is>
      </c>
      <c r="C15" s="18" t="n">
        <v>0.3</v>
      </c>
      <c r="D15" s="11" t="n">
        <v>0.25</v>
      </c>
      <c r="E15" s="18" t="n">
        <v>0.22</v>
      </c>
    </row>
    <row r="17">
      <c r="B17" s="4" t="inlineStr">
        <is>
          <t>OUTPUTS</t>
        </is>
      </c>
    </row>
    <row r="18">
      <c r="B18" s="5" t="inlineStr">
        <is>
          <t>5Y Revenue CAGR</t>
        </is>
      </c>
      <c r="C18" s="18">
        <f>C6</f>
        <v/>
      </c>
      <c r="D18" s="11">
        <f>D6</f>
        <v/>
      </c>
      <c r="E18" s="18">
        <f>E6</f>
        <v/>
      </c>
    </row>
    <row r="19">
      <c r="B19" s="5" t="inlineStr">
        <is>
          <t>Exit EBITDA</t>
        </is>
      </c>
      <c r="C19" s="17">
        <f>10000*(1+C6)^5*C7</f>
        <v/>
      </c>
      <c r="D19" s="13">
        <f>10000*(1+D6)^5*D7</f>
        <v/>
      </c>
      <c r="E19" s="17">
        <f>10000*(1+E6)^5*E7</f>
        <v/>
      </c>
    </row>
    <row r="20">
      <c r="B20" s="5" t="inlineStr">
        <is>
          <t>Enterprise Value</t>
        </is>
      </c>
      <c r="C20" s="17">
        <f>C19*6</f>
        <v/>
      </c>
      <c r="D20" s="13">
        <f>D19*8</f>
        <v/>
      </c>
      <c r="E20" s="17">
        <f>E19*10</f>
        <v/>
      </c>
    </row>
    <row r="21">
      <c r="B21" s="5" t="inlineStr">
        <is>
          <t>Equity Value</t>
        </is>
      </c>
      <c r="C21" s="17">
        <f>C20-3000</f>
        <v/>
      </c>
      <c r="D21" s="13">
        <f>D20-2500</f>
        <v/>
      </c>
      <c r="E21" s="17">
        <f>E20-2000</f>
        <v/>
      </c>
    </row>
    <row r="22">
      <c r="B22" s="5" t="inlineStr">
        <is>
          <t>Implied Share Price</t>
        </is>
      </c>
      <c r="C22" s="25">
        <f>C21/10</f>
        <v/>
      </c>
      <c r="D22" s="26">
        <f>D21/10</f>
        <v/>
      </c>
      <c r="E22" s="25">
        <f>E21/10</f>
        <v/>
      </c>
    </row>
    <row r="24">
      <c r="B24" s="4" t="inlineStr">
        <is>
          <t>IRR Analysis</t>
        </is>
      </c>
    </row>
    <row r="25">
      <c r="B25" s="5" t="inlineStr">
        <is>
          <t>Entry Price</t>
        </is>
      </c>
      <c r="C25" s="25" t="n">
        <v>500</v>
      </c>
      <c r="D25" s="26" t="n">
        <v>500</v>
      </c>
      <c r="E25" s="25" t="n">
        <v>500</v>
      </c>
    </row>
    <row r="26">
      <c r="B26" s="5" t="inlineStr">
        <is>
          <t>Exit Price</t>
        </is>
      </c>
      <c r="C26" s="25">
        <f>C22</f>
        <v/>
      </c>
      <c r="D26" s="26">
        <f>D22</f>
        <v/>
      </c>
      <c r="E26" s="25">
        <f>E22</f>
        <v/>
      </c>
    </row>
    <row r="27">
      <c r="B27" s="5" t="inlineStr">
        <is>
          <t>5Y Return</t>
        </is>
      </c>
      <c r="C27" s="18">
        <f>(C25/C24)^0.2-1</f>
        <v/>
      </c>
      <c r="D27" s="11">
        <f>(D25/D24)^0.2-1</f>
        <v/>
      </c>
      <c r="E27" s="18">
        <f>(E25/E24)^0.2-1</f>
        <v/>
      </c>
    </row>
  </sheetData>
  <mergeCells count="3">
    <mergeCell ref="B17:E17"/>
    <mergeCell ref="B11:E11"/>
    <mergeCell ref="B24:E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5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</cols>
  <sheetData>
    <row r="2">
      <c r="B2" s="1" t="inlineStr">
        <is>
          <t>HDFCBANK - Financial Dashboard</t>
        </is>
      </c>
    </row>
    <row r="22">
      <c r="B22" s="4" t="inlineStr">
        <is>
          <t>KEY METRICS SUMMARY</t>
        </is>
      </c>
    </row>
    <row r="23">
      <c r="B23" s="5" t="inlineStr">
        <is>
          <t>Current Revenue</t>
        </is>
      </c>
      <c r="C23" s="8">
        <f>Income_Statement!G6</f>
        <v/>
      </c>
    </row>
    <row r="24">
      <c r="B24" s="5" t="inlineStr">
        <is>
          <t>Forecast Y5 Revenue</t>
        </is>
      </c>
      <c r="C24" s="8">
        <f>Income_Statement!L6</f>
        <v/>
      </c>
    </row>
    <row r="25">
      <c r="B25" s="5" t="inlineStr">
        <is>
          <t>Revenue CAGR</t>
        </is>
      </c>
      <c r="C25" s="9">
        <f>IFERROR((Income_Statement!L6/Income_Statement!G6)^(1/5)-1,0)</f>
        <v/>
      </c>
    </row>
    <row r="26">
      <c r="B26" s="5" t="inlineStr">
        <is>
          <t>Current EBITDA Margin</t>
        </is>
      </c>
      <c r="C26" s="9">
        <f>G45</f>
        <v/>
      </c>
    </row>
    <row r="27">
      <c r="B27" s="5" t="inlineStr">
        <is>
          <t>Forecast Y5 EBITDA Margin</t>
        </is>
      </c>
      <c r="C27" s="9">
        <f>L45</f>
        <v/>
      </c>
    </row>
    <row r="28">
      <c r="B28" s="5" t="inlineStr">
        <is>
          <t>Enterprise Value</t>
        </is>
      </c>
      <c r="C28" s="8">
        <f>Valuation!C44</f>
        <v/>
      </c>
    </row>
    <row r="29">
      <c r="B29" s="5" t="inlineStr">
        <is>
          <t>Equity Value</t>
        </is>
      </c>
      <c r="C29" s="8">
        <f>Valuation!C46</f>
        <v/>
      </c>
    </row>
    <row r="30">
      <c r="B30" s="5" t="inlineStr">
        <is>
          <t>Implied Share Price</t>
        </is>
      </c>
      <c r="C30" s="7">
        <f>Valuation!C50</f>
        <v/>
      </c>
    </row>
    <row r="40">
      <c r="B40" s="4" t="inlineStr">
        <is>
          <t>Chart Data</t>
        </is>
      </c>
    </row>
    <row r="41">
      <c r="B41" t="inlineStr">
        <is>
          <t>Year</t>
        </is>
      </c>
      <c r="C41" t="inlineStr">
        <is>
          <t>FY2021</t>
        </is>
      </c>
      <c r="D41" t="inlineStr">
        <is>
          <t>FY2022</t>
        </is>
      </c>
      <c r="E41" t="inlineStr">
        <is>
          <t>FY2023</t>
        </is>
      </c>
      <c r="F41" t="inlineStr">
        <is>
          <t>FY2024</t>
        </is>
      </c>
      <c r="G41" t="inlineStr">
        <is>
          <t>FY2025</t>
        </is>
      </c>
      <c r="H41" t="inlineStr">
        <is>
          <t>FY2026</t>
        </is>
      </c>
      <c r="I41" t="inlineStr">
        <is>
          <t>FY2027</t>
        </is>
      </c>
      <c r="J41" t="inlineStr">
        <is>
          <t>FY2028</t>
        </is>
      </c>
      <c r="K41" t="inlineStr">
        <is>
          <t>FY2029</t>
        </is>
      </c>
      <c r="L41" t="inlineStr">
        <is>
          <t>FY2030</t>
        </is>
      </c>
    </row>
    <row r="42">
      <c r="B42" t="inlineStr">
        <is>
          <t>Revenue</t>
        </is>
      </c>
      <c r="C42" s="17">
        <f>Income_Statement!C6</f>
        <v/>
      </c>
      <c r="D42" s="17">
        <f>Income_Statement!D6</f>
        <v/>
      </c>
      <c r="E42" s="17">
        <f>Income_Statement!E6</f>
        <v/>
      </c>
      <c r="F42" s="17">
        <f>Income_Statement!F6</f>
        <v/>
      </c>
      <c r="G42" s="17">
        <f>Income_Statement!G6</f>
        <v/>
      </c>
      <c r="H42" s="17">
        <f>Income_Statement!H6</f>
        <v/>
      </c>
      <c r="I42" s="17">
        <f>Income_Statement!I6</f>
        <v/>
      </c>
      <c r="J42" s="17">
        <f>Income_Statement!J6</f>
        <v/>
      </c>
      <c r="K42" s="17">
        <f>Income_Statement!K6</f>
        <v/>
      </c>
      <c r="L42" s="17">
        <f>Income_Statement!L6</f>
        <v/>
      </c>
    </row>
    <row r="43">
      <c r="B43" t="inlineStr">
        <is>
          <t>EBITDA</t>
        </is>
      </c>
      <c r="C43" s="17">
        <f>Income_Statement!C15</f>
        <v/>
      </c>
      <c r="D43" s="17">
        <f>Income_Statement!D15</f>
        <v/>
      </c>
      <c r="E43" s="17">
        <f>Income_Statement!E15</f>
        <v/>
      </c>
      <c r="F43" s="17">
        <f>Income_Statement!F15</f>
        <v/>
      </c>
      <c r="G43" s="17">
        <f>Income_Statement!G15</f>
        <v/>
      </c>
      <c r="H43" s="17">
        <f>Income_Statement!H15</f>
        <v/>
      </c>
      <c r="I43" s="17">
        <f>Income_Statement!I15</f>
        <v/>
      </c>
      <c r="J43" s="17">
        <f>Income_Statement!J15</f>
        <v/>
      </c>
      <c r="K43" s="17">
        <f>Income_Statement!K15</f>
        <v/>
      </c>
      <c r="L43" s="17">
        <f>Income_Statement!L15</f>
        <v/>
      </c>
    </row>
    <row r="44">
      <c r="B44" t="inlineStr">
        <is>
          <t>Net Income</t>
        </is>
      </c>
      <c r="C44" s="17">
        <f>Income_Statement!C26</f>
        <v/>
      </c>
      <c r="D44" s="17">
        <f>Income_Statement!D26</f>
        <v/>
      </c>
      <c r="E44" s="17">
        <f>Income_Statement!E26</f>
        <v/>
      </c>
      <c r="F44" s="17">
        <f>Income_Statement!F26</f>
        <v/>
      </c>
      <c r="G44" s="17">
        <f>Income_Statement!G26</f>
        <v/>
      </c>
      <c r="H44" s="17">
        <f>Income_Statement!H26</f>
        <v/>
      </c>
      <c r="I44" s="17">
        <f>Income_Statement!I26</f>
        <v/>
      </c>
      <c r="J44" s="17">
        <f>Income_Statement!J26</f>
        <v/>
      </c>
      <c r="K44" s="17">
        <f>Income_Statement!K26</f>
        <v/>
      </c>
      <c r="L44" s="17">
        <f>Income_Statement!L26</f>
        <v/>
      </c>
    </row>
    <row r="45">
      <c r="B45" t="inlineStr">
        <is>
          <t>EBITDA Margin %</t>
        </is>
      </c>
      <c r="C45" s="18">
        <f>IFERROR(C43/C42,0)</f>
        <v/>
      </c>
      <c r="D45" s="18">
        <f>IFERROR(D43/D42,0)</f>
        <v/>
      </c>
      <c r="E45" s="18">
        <f>IFERROR(E43/E42,0)</f>
        <v/>
      </c>
      <c r="F45" s="18">
        <f>IFERROR(F43/F42,0)</f>
        <v/>
      </c>
      <c r="G45" s="18">
        <f>IFERROR(G43/G42,0)</f>
        <v/>
      </c>
      <c r="H45" s="18">
        <f>IFERROR(H43/H42,0)</f>
        <v/>
      </c>
      <c r="I45" s="18">
        <f>IFERROR(I43/I42,0)</f>
        <v/>
      </c>
      <c r="J45" s="18">
        <f>IFERROR(J43/J42,0)</f>
        <v/>
      </c>
      <c r="K45" s="18">
        <f>IFERROR(K43/K42,0)</f>
        <v/>
      </c>
      <c r="L45" s="18">
        <f>IFERROR(L43/L42,0)</f>
        <v/>
      </c>
    </row>
  </sheetData>
  <mergeCells count="1">
    <mergeCell ref="B22:D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2026-01-29T16:28:35Z</dcterms:created>
  <dcterms:modified xmlns:dcterms="http://purl.org/dc/terms/" xmlns:xsi="http://www.w3.org/2001/XMLSchema-instance" xsi:type="dcterms:W3CDTF">2026-01-29T16:28:35Z</dcterms:modified>
</cp:coreProperties>
</file>