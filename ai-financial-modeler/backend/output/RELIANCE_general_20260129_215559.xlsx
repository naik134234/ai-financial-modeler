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Dashboard" sheetId="9" state="visible" r:id="rId9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  <xf numFmtId="164" fontId="2" fillId="2" borderId="2" applyAlignment="1" pivotButton="0" quotePrefix="0" xfId="2">
      <alignment horizontal="center" vertical="center"/>
    </xf>
    <xf numFmtId="168" fontId="0" fillId="0" borderId="0" pivotButton="0" quotePrefix="0" xfId="0"/>
    <xf numFmtId="168" fontId="4" fillId="4" borderId="3" applyAlignment="1" pivotButton="0" quotePrefix="0" xfId="4">
      <alignment horizontal="right"/>
    </xf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(₹ Crores)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'Dashboard'!$C$42:$L$42</f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'Dashboard'!$C$43:$L$43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Margin Trend</a:t>
            </a:r>
          </a:p>
        </rich>
      </tx>
    </title>
    <plotArea>
      <lineChart>
        <grouping val="standard"/>
        <ser>
          <idx val="0"/>
          <order val="0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'Dashboard'!$C$45:$L$45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Trend (₹ Crores)</a:t>
            </a:r>
          </a:p>
        </rich>
      </tx>
    </title>
    <plotArea>
      <lineChart>
        <grouping val="standard"/>
        <ser>
          <idx val="0"/>
          <order val="0"/>
          <tx>
            <v>Net Income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'Dashboard'!$C$44:$L$44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Relationship Type="http://schemas.openxmlformats.org/officeDocument/2006/relationships/hyperlink" Target="#'Sensitivity'!A1" TargetMode="External" Id="rId7"/><Relationship Type="http://schemas.openxmlformats.org/officeDocument/2006/relationships/hyperlink" Target="#'Scenarios'!A1" TargetMode="External" Id="rId8"/><Relationship Type="http://schemas.openxmlformats.org/officeDocument/2006/relationships/hyperlink" Target="#'Dashboard'!A1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RELIANCE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General Corporate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General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  <c r="E14" s="6" t="inlineStr">
        <is>
          <t>Sensitivity</t>
        </is>
      </c>
    </row>
    <row r="15">
      <c r="B15" s="5" t="inlineStr">
        <is>
          <t>Equity Value</t>
        </is>
      </c>
      <c r="C15" s="8">
        <f>Valuation!C46</f>
        <v/>
      </c>
      <c r="E15" s="6" t="inlineStr">
        <is>
          <t>Scenarios</t>
        </is>
      </c>
    </row>
    <row r="16">
      <c r="B16" s="5" t="inlineStr">
        <is>
          <t>WACC</t>
        </is>
      </c>
      <c r="C16" s="9">
        <f>Valuation!C19</f>
        <v/>
      </c>
      <c r="E16" s="6" t="inlineStr">
        <is>
          <t>Dashboard</t>
        </is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C6*(1+Assumptions!$C$7)</f>
        <v/>
      </c>
      <c r="E6" s="17">
        <f>D6*(1+Assumptions!$C$7)</f>
        <v/>
      </c>
      <c r="F6" s="17">
        <f>E6*(1+Assumptions!$C$7)</f>
        <v/>
      </c>
      <c r="G6" s="17">
        <f>F6*(1+Assumptions!$C$7)</f>
        <v/>
      </c>
      <c r="H6" s="17">
        <f>G6*(1+Assumptions!$C$7)</f>
        <v/>
      </c>
      <c r="I6" s="17">
        <f>H6*(1+Assumptions!$C$7)</f>
        <v/>
      </c>
      <c r="J6" s="17">
        <f>I6*(1+Assumptions!$C$7)</f>
        <v/>
      </c>
      <c r="K6" s="17">
        <f>J6*(1+Assumptions!$C$7)</f>
        <v/>
      </c>
      <c r="L6" s="17">
        <f>K6*(1+Assumptions!$C$7)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-C6*(1-Assumptions!$C$12)</f>
        <v/>
      </c>
      <c r="D9" s="17">
        <f>-D6*(1-Assumptions!$C$12)</f>
        <v/>
      </c>
      <c r="E9" s="17">
        <f>-E6*(1-Assumptions!$C$12)</f>
        <v/>
      </c>
      <c r="F9" s="17">
        <f>-F6*(1-Assumptions!$C$12)</f>
        <v/>
      </c>
      <c r="G9" s="17">
        <f>-G6*(1-Assumptions!$C$12)</f>
        <v/>
      </c>
      <c r="H9" s="17">
        <f>-H6*(1-Assumptions!$C$12)</f>
        <v/>
      </c>
      <c r="I9" s="17">
        <f>-I6*(1-Assumptions!$C$12)</f>
        <v/>
      </c>
      <c r="J9" s="17">
        <f>-J6*(1-Assumptions!$C$12)</f>
        <v/>
      </c>
      <c r="K9" s="17">
        <f>-K6*(1-Assumptions!$C$12)</f>
        <v/>
      </c>
      <c r="L9" s="17">
        <f>-L6*(1-Assumptions!$C$12)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-C6*Assumptions!$C$14</f>
        <v/>
      </c>
      <c r="D13" s="17">
        <f>-D6*Assumptions!$C$14</f>
        <v/>
      </c>
      <c r="E13" s="17">
        <f>-E6*Assumptions!$C$14</f>
        <v/>
      </c>
      <c r="F13" s="17">
        <f>-F6*Assumptions!$C$14</f>
        <v/>
      </c>
      <c r="G13" s="17">
        <f>-G6*Assumptions!$C$14</f>
        <v/>
      </c>
      <c r="H13" s="17">
        <f>-H6*Assumptions!$C$14</f>
        <v/>
      </c>
      <c r="I13" s="17">
        <f>-I6*Assumptions!$C$14</f>
        <v/>
      </c>
      <c r="J13" s="17">
        <f>-J6*Assumptions!$C$14</f>
        <v/>
      </c>
      <c r="K13" s="17">
        <f>-K6*Assumptions!$C$14</f>
        <v/>
      </c>
      <c r="L13" s="17">
        <f>-L6*Assumptions!$C$14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-C6*Assumptions!$C$22</f>
        <v/>
      </c>
      <c r="D18" s="17">
        <f>-D6*Assumptions!$C$22</f>
        <v/>
      </c>
      <c r="E18" s="17">
        <f>-E6*Assumptions!$C$22</f>
        <v/>
      </c>
      <c r="F18" s="17">
        <f>-F6*Assumptions!$C$22</f>
        <v/>
      </c>
      <c r="G18" s="17">
        <f>-G6*Assumptions!$C$22</f>
        <v/>
      </c>
      <c r="H18" s="17">
        <f>-H6*Assumptions!$C$22</f>
        <v/>
      </c>
      <c r="I18" s="17">
        <f>-I6*Assumptions!$C$22</f>
        <v/>
      </c>
      <c r="J18" s="17">
        <f>-J6*Assumptions!$C$22</f>
        <v/>
      </c>
      <c r="K18" s="17">
        <f>-K6*Assumptions!$C$22</f>
        <v/>
      </c>
      <c r="L18" s="17">
        <f>-L6*Assumptions!$C$22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-MAX(C23,0)*Assumptions!$C$34</f>
        <v/>
      </c>
      <c r="D25" s="17">
        <f>-MAX(D23,0)*Assumptions!$C$34</f>
        <v/>
      </c>
      <c r="E25" s="17">
        <f>-MAX(E23,0)*Assumptions!$C$34</f>
        <v/>
      </c>
      <c r="F25" s="17">
        <f>-MAX(F23,0)*Assumptions!$C$34</f>
        <v/>
      </c>
      <c r="G25" s="17">
        <f>-MAX(G23,0)*Assumptions!$C$34</f>
        <v/>
      </c>
      <c r="H25" s="17">
        <f>-MAX(H23,0)*Assumptions!$C$34</f>
        <v/>
      </c>
      <c r="I25" s="17">
        <f>-MAX(I23,0)*Assumptions!$C$34</f>
        <v/>
      </c>
      <c r="J25" s="17">
        <f>-MAX(J23,0)*Assumptions!$C$34</f>
        <v/>
      </c>
      <c r="K25" s="17">
        <f>-MAX(K23,0)*Assumptions!$C$34</f>
        <v/>
      </c>
      <c r="L25" s="17">
        <f>-MAX(L23,0)*Assumptions!$C$34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Income_Statement!C6*Assumptions!$C$17/365</f>
        <v/>
      </c>
      <c r="D8" s="17">
        <f>Income_Statement!D6*Assumptions!$C$17/365</f>
        <v/>
      </c>
      <c r="E8" s="17">
        <f>Income_Statement!E6*Assumptions!$C$17/365</f>
        <v/>
      </c>
      <c r="F8" s="17">
        <f>Income_Statement!F6*Assumptions!$C$17/365</f>
        <v/>
      </c>
      <c r="G8" s="17">
        <f>Income_Statement!G6*Assumptions!$C$17/365</f>
        <v/>
      </c>
      <c r="H8" s="17">
        <f>Income_Statement!H6*Assumptions!$C$17/365</f>
        <v/>
      </c>
      <c r="I8" s="17">
        <f>Income_Statement!I6*Assumptions!$C$17/365</f>
        <v/>
      </c>
      <c r="J8" s="17">
        <f>Income_Statement!J6*Assumptions!$C$17/365</f>
        <v/>
      </c>
      <c r="K8" s="17">
        <f>Income_Statement!K6*Assumptions!$C$17/365</f>
        <v/>
      </c>
      <c r="L8" s="17">
        <f>Income_Statement!L6*Assumptions!$C$17/365</f>
        <v/>
      </c>
    </row>
    <row r="9">
      <c r="B9" s="5" t="inlineStr">
        <is>
          <t>Inventory</t>
        </is>
      </c>
      <c r="C9" s="17">
        <f>-Income_Statement!C9*Assumptions!$C$18/365</f>
        <v/>
      </c>
      <c r="D9" s="17">
        <f>-Income_Statement!D9*Assumptions!$C$18/365</f>
        <v/>
      </c>
      <c r="E9" s="17">
        <f>-Income_Statement!E9*Assumptions!$C$18/365</f>
        <v/>
      </c>
      <c r="F9" s="17">
        <f>-Income_Statement!F9*Assumptions!$C$18/365</f>
        <v/>
      </c>
      <c r="G9" s="17">
        <f>-Income_Statement!G9*Assumptions!$C$18/365</f>
        <v/>
      </c>
      <c r="H9" s="17">
        <f>-Income_Statement!H9*Assumptions!$C$18/365</f>
        <v/>
      </c>
      <c r="I9" s="17">
        <f>-Income_Statement!I9*Assumptions!$C$18/365</f>
        <v/>
      </c>
      <c r="J9" s="17">
        <f>-Income_Statement!J9*Assumptions!$C$18/365</f>
        <v/>
      </c>
      <c r="K9" s="17">
        <f>-Income_Statement!K9*Assumptions!$C$18/365</f>
        <v/>
      </c>
      <c r="L9" s="17">
        <f>-Income_Statement!L9*Assumptions!$C$18/365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C13+Income_Statement!D6*Assumptions!$C$21</f>
        <v/>
      </c>
      <c r="E13" s="17">
        <f>D13+Income_Statement!E6*Assumptions!$C$21</f>
        <v/>
      </c>
      <c r="F13" s="17">
        <f>E13+Income_Statement!F6*Assumptions!$C$21</f>
        <v/>
      </c>
      <c r="G13" s="17">
        <f>F13+Income_Statement!G6*Assumptions!$C$21</f>
        <v/>
      </c>
      <c r="H13" s="17">
        <f>G13+Income_Statement!H6*Assumptions!$C$21</f>
        <v/>
      </c>
      <c r="I13" s="17">
        <f>H13+Income_Statement!I6*Assumptions!$C$21</f>
        <v/>
      </c>
      <c r="J13" s="17">
        <f>I13+Income_Statement!J6*Assumptions!$C$21</f>
        <v/>
      </c>
      <c r="K13" s="17">
        <f>J13+Income_Statement!K6*Assumptions!$C$21</f>
        <v/>
      </c>
      <c r="L13" s="17">
        <f>K13+Income_Statement!L6*Assumptions!$C$21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-Income_Statement!C9*Assumptions!$C$19/365</f>
        <v/>
      </c>
      <c r="D20" s="17">
        <f>-Income_Statement!D9*Assumptions!$C$19/365</f>
        <v/>
      </c>
      <c r="E20" s="17">
        <f>-Income_Statement!E9*Assumptions!$C$19/365</f>
        <v/>
      </c>
      <c r="F20" s="17">
        <f>-Income_Statement!F9*Assumptions!$C$19/365</f>
        <v/>
      </c>
      <c r="G20" s="17">
        <f>-Income_Statement!G9*Assumptions!$C$19/365</f>
        <v/>
      </c>
      <c r="H20" s="17">
        <f>-Income_Statement!H9*Assumptions!$C$19/365</f>
        <v/>
      </c>
      <c r="I20" s="17">
        <f>-Income_Statement!I9*Assumptions!$C$19/365</f>
        <v/>
      </c>
      <c r="J20" s="17">
        <f>-Income_Statement!J9*Assumptions!$C$19/365</f>
        <v/>
      </c>
      <c r="K20" s="17">
        <f>-Income_Statement!K9*Assumptions!$C$19/365</f>
        <v/>
      </c>
      <c r="L20" s="17">
        <f>-Income_Statement!L9*Assumptions!$C$19/365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Sensitivity Analysis</t>
        </is>
      </c>
    </row>
    <row r="5">
      <c r="B5" s="4" t="inlineStr">
        <is>
          <t>WACC vs Terminal Growth Sensitivity</t>
        </is>
      </c>
    </row>
    <row r="7">
      <c r="B7" s="15" t="inlineStr">
        <is>
          <t>WACC \ TG</t>
        </is>
      </c>
      <c r="C7" s="24" t="n">
        <v>0.02</v>
      </c>
      <c r="D7" s="24" t="n">
        <v>0.025</v>
      </c>
      <c r="E7" s="24" t="n">
        <v>0.03</v>
      </c>
      <c r="F7" s="24" t="n">
        <v>0.035</v>
      </c>
      <c r="G7" s="24" t="n">
        <v>0.04</v>
      </c>
      <c r="H7" s="24" t="n">
        <v>0.045</v>
      </c>
      <c r="I7" s="24" t="n">
        <v>0.05</v>
      </c>
    </row>
    <row r="8">
      <c r="B8" s="24" t="n">
        <v>0.08</v>
      </c>
      <c r="C8" s="17">
        <f>IFERROR(1000*(1+0.02)/(0.08-0.02),0)</f>
        <v/>
      </c>
      <c r="D8" s="17">
        <f>IFERROR(1000*(1+0.025)/(0.08-0.025),0)</f>
        <v/>
      </c>
      <c r="E8" s="17">
        <f>IFERROR(1000*(1+0.03)/(0.08-0.03),0)</f>
        <v/>
      </c>
      <c r="F8" s="17">
        <f>IFERROR(1000*(1+0.035)/(0.08-0.035),0)</f>
        <v/>
      </c>
      <c r="G8" s="17">
        <f>IFERROR(1000*(1+0.04)/(0.08-0.04),0)</f>
        <v/>
      </c>
      <c r="H8" s="17">
        <f>IFERROR(1000*(1+0.045)/(0.08-0.045),0)</f>
        <v/>
      </c>
      <c r="I8" s="17">
        <f>IFERROR(1000*(1+0.05)/(0.08-0.05),0)</f>
        <v/>
      </c>
    </row>
    <row r="9">
      <c r="B9" s="24" t="n">
        <v>0.09</v>
      </c>
      <c r="C9" s="17">
        <f>IFERROR(1000*(1+0.02)/(0.09-0.02),0)</f>
        <v/>
      </c>
      <c r="D9" s="17">
        <f>IFERROR(1000*(1+0.025)/(0.09-0.025),0)</f>
        <v/>
      </c>
      <c r="E9" s="17">
        <f>IFERROR(1000*(1+0.03)/(0.09-0.03),0)</f>
        <v/>
      </c>
      <c r="F9" s="17">
        <f>IFERROR(1000*(1+0.035)/(0.09-0.035),0)</f>
        <v/>
      </c>
      <c r="G9" s="17">
        <f>IFERROR(1000*(1+0.04)/(0.09-0.04),0)</f>
        <v/>
      </c>
      <c r="H9" s="17">
        <f>IFERROR(1000*(1+0.045)/(0.09-0.045),0)</f>
        <v/>
      </c>
      <c r="I9" s="17">
        <f>IFERROR(1000*(1+0.05)/(0.09-0.05),0)</f>
        <v/>
      </c>
    </row>
    <row r="10">
      <c r="B10" s="24" t="n">
        <v>0.1</v>
      </c>
      <c r="C10" s="17">
        <f>IFERROR(1000*(1+0.02)/(0.1-0.02),0)</f>
        <v/>
      </c>
      <c r="D10" s="17">
        <f>IFERROR(1000*(1+0.025)/(0.1-0.025),0)</f>
        <v/>
      </c>
      <c r="E10" s="17">
        <f>IFERROR(1000*(1+0.03)/(0.1-0.03),0)</f>
        <v/>
      </c>
      <c r="F10" s="17">
        <f>IFERROR(1000*(1+0.035)/(0.1-0.035),0)</f>
        <v/>
      </c>
      <c r="G10" s="17">
        <f>IFERROR(1000*(1+0.04)/(0.1-0.04),0)</f>
        <v/>
      </c>
      <c r="H10" s="17">
        <f>IFERROR(1000*(1+0.045)/(0.1-0.045),0)</f>
        <v/>
      </c>
      <c r="I10" s="17">
        <f>IFERROR(1000*(1+0.05)/(0.1-0.05),0)</f>
        <v/>
      </c>
    </row>
    <row r="11">
      <c r="B11" s="24" t="n">
        <v>0.11</v>
      </c>
      <c r="C11" s="17">
        <f>IFERROR(1000*(1+0.02)/(0.11-0.02),0)</f>
        <v/>
      </c>
      <c r="D11" s="17">
        <f>IFERROR(1000*(1+0.025)/(0.11-0.025),0)</f>
        <v/>
      </c>
      <c r="E11" s="17">
        <f>IFERROR(1000*(1+0.03)/(0.11-0.03),0)</f>
        <v/>
      </c>
      <c r="F11" s="19">
        <f>IFERROR(1000*(1+0.035)/(0.11-0.035),0)</f>
        <v/>
      </c>
      <c r="G11" s="17">
        <f>IFERROR(1000*(1+0.04)/(0.11-0.04),0)</f>
        <v/>
      </c>
      <c r="H11" s="17">
        <f>IFERROR(1000*(1+0.045)/(0.11-0.045),0)</f>
        <v/>
      </c>
      <c r="I11" s="17">
        <f>IFERROR(1000*(1+0.05)/(0.11-0.05),0)</f>
        <v/>
      </c>
    </row>
    <row r="12">
      <c r="B12" s="24" t="n">
        <v>0.12</v>
      </c>
      <c r="C12" s="17">
        <f>IFERROR(1000*(1+0.02)/(0.12-0.02),0)</f>
        <v/>
      </c>
      <c r="D12" s="17">
        <f>IFERROR(1000*(1+0.025)/(0.12-0.025),0)</f>
        <v/>
      </c>
      <c r="E12" s="17">
        <f>IFERROR(1000*(1+0.03)/(0.12-0.03),0)</f>
        <v/>
      </c>
      <c r="F12" s="17">
        <f>IFERROR(1000*(1+0.035)/(0.12-0.035),0)</f>
        <v/>
      </c>
      <c r="G12" s="17">
        <f>IFERROR(1000*(1+0.04)/(0.12-0.04),0)</f>
        <v/>
      </c>
      <c r="H12" s="17">
        <f>IFERROR(1000*(1+0.045)/(0.12-0.045),0)</f>
        <v/>
      </c>
      <c r="I12" s="17">
        <f>IFERROR(1000*(1+0.05)/(0.12-0.05),0)</f>
        <v/>
      </c>
    </row>
    <row r="13">
      <c r="B13" s="24" t="n">
        <v>0.13</v>
      </c>
      <c r="C13" s="17">
        <f>IFERROR(1000*(1+0.02)/(0.13-0.02),0)</f>
        <v/>
      </c>
      <c r="D13" s="17">
        <f>IFERROR(1000*(1+0.025)/(0.13-0.025),0)</f>
        <v/>
      </c>
      <c r="E13" s="17">
        <f>IFERROR(1000*(1+0.03)/(0.13-0.03),0)</f>
        <v/>
      </c>
      <c r="F13" s="17">
        <f>IFERROR(1000*(1+0.035)/(0.13-0.035),0)</f>
        <v/>
      </c>
      <c r="G13" s="17">
        <f>IFERROR(1000*(1+0.04)/(0.13-0.04),0)</f>
        <v/>
      </c>
      <c r="H13" s="17">
        <f>IFERROR(1000*(1+0.045)/(0.13-0.045),0)</f>
        <v/>
      </c>
      <c r="I13" s="17">
        <f>IFERROR(1000*(1+0.05)/(0.13-0.05),0)</f>
        <v/>
      </c>
    </row>
    <row r="14">
      <c r="B14" s="24" t="n">
        <v>0.14</v>
      </c>
      <c r="C14" s="17">
        <f>IFERROR(1000*(1+0.02)/(0.14-0.02),0)</f>
        <v/>
      </c>
      <c r="D14" s="17">
        <f>IFERROR(1000*(1+0.025)/(0.14-0.025),0)</f>
        <v/>
      </c>
      <c r="E14" s="17">
        <f>IFERROR(1000*(1+0.03)/(0.14-0.03),0)</f>
        <v/>
      </c>
      <c r="F14" s="17">
        <f>IFERROR(1000*(1+0.035)/(0.14-0.035),0)</f>
        <v/>
      </c>
      <c r="G14" s="17">
        <f>IFERROR(1000*(1+0.04)/(0.14-0.04),0)</f>
        <v/>
      </c>
      <c r="H14" s="17">
        <f>IFERROR(1000*(1+0.045)/(0.14-0.045),0)</f>
        <v/>
      </c>
      <c r="I14" s="17">
        <f>IFERROR(1000*(1+0.05)/(0.14-0.05),0)</f>
        <v/>
      </c>
    </row>
    <row r="18">
      <c r="B18" s="4" t="inlineStr">
        <is>
          <t>Revenue Growth vs EBITDA Margin Impact on EV</t>
        </is>
      </c>
    </row>
    <row r="20">
      <c r="B20" s="15" t="inlineStr">
        <is>
          <t>Growth \ Margin</t>
        </is>
      </c>
      <c r="C20" s="24" t="n">
        <v>0.15</v>
      </c>
      <c r="D20" s="24" t="n">
        <v>0.2</v>
      </c>
      <c r="E20" s="24" t="n">
        <v>0.25</v>
      </c>
      <c r="F20" s="24" t="n">
        <v>0.3</v>
      </c>
      <c r="G20" s="24" t="n">
        <v>0.35</v>
      </c>
    </row>
    <row r="21">
      <c r="B21" s="24" t="n">
        <v>0.05</v>
      </c>
      <c r="C21" s="17">
        <f>10000*((1+0.05)^5)*0.15*8</f>
        <v/>
      </c>
      <c r="D21" s="17">
        <f>10000*((1+0.05)^5)*0.2*8</f>
        <v/>
      </c>
      <c r="E21" s="17">
        <f>10000*((1+0.05)^5)*0.25*8</f>
        <v/>
      </c>
      <c r="F21" s="17">
        <f>10000*((1+0.05)^5)*0.3*8</f>
        <v/>
      </c>
      <c r="G21" s="17">
        <f>10000*((1+0.05)^5)*0.35*8</f>
        <v/>
      </c>
    </row>
    <row r="22">
      <c r="B22" s="24" t="n">
        <v>0.08</v>
      </c>
      <c r="C22" s="17">
        <f>10000*((1+0.08)^5)*0.15*8</f>
        <v/>
      </c>
      <c r="D22" s="17">
        <f>10000*((1+0.08)^5)*0.2*8</f>
        <v/>
      </c>
      <c r="E22" s="17">
        <f>10000*((1+0.08)^5)*0.25*8</f>
        <v/>
      </c>
      <c r="F22" s="17">
        <f>10000*((1+0.08)^5)*0.3*8</f>
        <v/>
      </c>
      <c r="G22" s="17">
        <f>10000*((1+0.08)^5)*0.35*8</f>
        <v/>
      </c>
    </row>
    <row r="23">
      <c r="B23" s="24" t="n">
        <v>0.1</v>
      </c>
      <c r="C23" s="17">
        <f>10000*((1+0.1)^5)*0.15*8</f>
        <v/>
      </c>
      <c r="D23" s="17">
        <f>10000*((1+0.1)^5)*0.2*8</f>
        <v/>
      </c>
      <c r="E23" s="17">
        <f>10000*((1+0.1)^5)*0.25*8</f>
        <v/>
      </c>
      <c r="F23" s="17">
        <f>10000*((1+0.1)^5)*0.3*8</f>
        <v/>
      </c>
      <c r="G23" s="17">
        <f>10000*((1+0.1)^5)*0.35*8</f>
        <v/>
      </c>
    </row>
    <row r="24">
      <c r="B24" s="24" t="n">
        <v>0.12</v>
      </c>
      <c r="C24" s="17">
        <f>10000*((1+0.12)^5)*0.15*8</f>
        <v/>
      </c>
      <c r="D24" s="17">
        <f>10000*((1+0.12)^5)*0.2*8</f>
        <v/>
      </c>
      <c r="E24" s="17">
        <f>10000*((1+0.12)^5)*0.25*8</f>
        <v/>
      </c>
      <c r="F24" s="17">
        <f>10000*((1+0.12)^5)*0.3*8</f>
        <v/>
      </c>
      <c r="G24" s="17">
        <f>10000*((1+0.12)^5)*0.35*8</f>
        <v/>
      </c>
    </row>
    <row r="25">
      <c r="B25" s="24" t="n">
        <v>0.15</v>
      </c>
      <c r="C25" s="17">
        <f>10000*((1+0.15)^5)*0.15*8</f>
        <v/>
      </c>
      <c r="D25" s="17">
        <f>10000*((1+0.15)^5)*0.2*8</f>
        <v/>
      </c>
      <c r="E25" s="17">
        <f>10000*((1+0.15)^5)*0.25*8</f>
        <v/>
      </c>
      <c r="F25" s="17">
        <f>10000*((1+0.15)^5)*0.3*8</f>
        <v/>
      </c>
      <c r="G25" s="17">
        <f>10000*((1+0.15)^5)*0.35*8</f>
        <v/>
      </c>
    </row>
    <row r="26">
      <c r="B26" s="24" t="n">
        <v>0.18</v>
      </c>
      <c r="C26" s="17">
        <f>10000*((1+0.18)^5)*0.15*8</f>
        <v/>
      </c>
      <c r="D26" s="17">
        <f>10000*((1+0.18)^5)*0.2*8</f>
        <v/>
      </c>
      <c r="E26" s="17">
        <f>10000*((1+0.18)^5)*0.25*8</f>
        <v/>
      </c>
      <c r="F26" s="17">
        <f>10000*((1+0.18)^5)*0.3*8</f>
        <v/>
      </c>
      <c r="G26" s="17">
        <f>10000*((1+0.18)^5)*0.35*8</f>
        <v/>
      </c>
    </row>
    <row r="27">
      <c r="B27" s="24" t="n">
        <v>0.2</v>
      </c>
      <c r="C27" s="17">
        <f>10000*((1+0.2)^5)*0.15*8</f>
        <v/>
      </c>
      <c r="D27" s="17">
        <f>10000*((1+0.2)^5)*0.2*8</f>
        <v/>
      </c>
      <c r="E27" s="17">
        <f>10000*((1+0.2)^5)*0.25*8</f>
        <v/>
      </c>
      <c r="F27" s="17">
        <f>10000*((1+0.2)^5)*0.3*8</f>
        <v/>
      </c>
      <c r="G27" s="17">
        <f>10000*((1+0.2)^5)*0.35*8</f>
        <v/>
      </c>
    </row>
  </sheetData>
  <mergeCells count="2">
    <mergeCell ref="B5:H5"/>
    <mergeCell ref="B18:H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Scenario Analysis</t>
        </is>
      </c>
    </row>
    <row r="5">
      <c r="B5" s="15" t="inlineStr">
        <is>
          <t>Scenario</t>
        </is>
      </c>
      <c r="C5" s="15" t="inlineStr">
        <is>
          <t>Bear</t>
        </is>
      </c>
      <c r="D5" s="15" t="inlineStr">
        <is>
          <t>Base</t>
        </is>
      </c>
      <c r="E5" s="15" t="inlineStr">
        <is>
          <t>Bull</t>
        </is>
      </c>
    </row>
    <row r="6">
      <c r="B6" s="5" t="inlineStr">
        <is>
          <t>Revenue Growth</t>
        </is>
      </c>
      <c r="C6" s="18" t="n">
        <v>0.05</v>
      </c>
      <c r="D6" s="11" t="n">
        <v>0.1</v>
      </c>
      <c r="E6" s="18" t="n">
        <v>0.15</v>
      </c>
    </row>
    <row r="7">
      <c r="B7" s="5" t="inlineStr">
        <is>
          <t>EBITDA Margin</t>
        </is>
      </c>
      <c r="C7" s="18" t="n">
        <v>0.18</v>
      </c>
      <c r="D7" s="11" t="n">
        <v>0.25</v>
      </c>
      <c r="E7" s="18" t="n">
        <v>0.32</v>
      </c>
    </row>
    <row r="8">
      <c r="B8" s="5" t="inlineStr">
        <is>
          <t>Terminal Growth</t>
        </is>
      </c>
      <c r="C8" s="18" t="n">
        <v>0.02</v>
      </c>
      <c r="D8" s="11" t="n">
        <v>0.04</v>
      </c>
      <c r="E8" s="18" t="n">
        <v>0.05</v>
      </c>
    </row>
    <row r="9">
      <c r="B9" s="5" t="inlineStr">
        <is>
          <t>WACC</t>
        </is>
      </c>
      <c r="C9" s="18" t="n">
        <v>0.14</v>
      </c>
      <c r="D9" s="11" t="n">
        <v>0.11</v>
      </c>
      <c r="E9" s="18" t="n">
        <v>0.09</v>
      </c>
    </row>
    <row r="11">
      <c r="B11" s="4" t="inlineStr">
        <is>
          <t>ASSUMPTIONS</t>
        </is>
      </c>
    </row>
    <row r="12">
      <c r="B12" s="5" t="inlineStr">
        <is>
          <t>Capex % Rev</t>
        </is>
      </c>
      <c r="C12" s="18" t="n">
        <v>0.08</v>
      </c>
      <c r="D12" s="11" t="n">
        <v>0.05</v>
      </c>
      <c r="E12" s="18" t="n">
        <v>0.04</v>
      </c>
    </row>
    <row r="13">
      <c r="B13" s="5" t="inlineStr">
        <is>
          <t>Working Capital Days</t>
        </is>
      </c>
      <c r="C13" s="17" t="n">
        <v>60</v>
      </c>
      <c r="D13" s="13" t="n">
        <v>45</v>
      </c>
      <c r="E13" s="17" t="n">
        <v>35</v>
      </c>
    </row>
    <row r="14">
      <c r="B14" s="5" t="inlineStr">
        <is>
          <t>D/E Ratio</t>
        </is>
      </c>
      <c r="C14" s="20" t="n">
        <v>0.8</v>
      </c>
      <c r="D14" s="14" t="n">
        <v>0.5</v>
      </c>
      <c r="E14" s="20" t="n">
        <v>0.3</v>
      </c>
    </row>
    <row r="15">
      <c r="B15" s="5" t="inlineStr">
        <is>
          <t>Tax Rate</t>
        </is>
      </c>
      <c r="C15" s="18" t="n">
        <v>0.3</v>
      </c>
      <c r="D15" s="11" t="n">
        <v>0.25</v>
      </c>
      <c r="E15" s="18" t="n">
        <v>0.22</v>
      </c>
    </row>
    <row r="17">
      <c r="B17" s="4" t="inlineStr">
        <is>
          <t>OUTPUTS</t>
        </is>
      </c>
    </row>
    <row r="18">
      <c r="B18" s="5" t="inlineStr">
        <is>
          <t>5Y Revenue CAGR</t>
        </is>
      </c>
      <c r="C18" s="18">
        <f>C6</f>
        <v/>
      </c>
      <c r="D18" s="11">
        <f>D6</f>
        <v/>
      </c>
      <c r="E18" s="18">
        <f>E6</f>
        <v/>
      </c>
    </row>
    <row r="19">
      <c r="B19" s="5" t="inlineStr">
        <is>
          <t>Exit EBITDA</t>
        </is>
      </c>
      <c r="C19" s="17">
        <f>10000*(1+C6)^5*C7</f>
        <v/>
      </c>
      <c r="D19" s="13">
        <f>10000*(1+D6)^5*D7</f>
        <v/>
      </c>
      <c r="E19" s="17">
        <f>10000*(1+E6)^5*E7</f>
        <v/>
      </c>
    </row>
    <row r="20">
      <c r="B20" s="5" t="inlineStr">
        <is>
          <t>Enterprise Value</t>
        </is>
      </c>
      <c r="C20" s="17">
        <f>C19*6</f>
        <v/>
      </c>
      <c r="D20" s="13">
        <f>D19*8</f>
        <v/>
      </c>
      <c r="E20" s="17">
        <f>E19*10</f>
        <v/>
      </c>
    </row>
    <row r="21">
      <c r="B21" s="5" t="inlineStr">
        <is>
          <t>Equity Value</t>
        </is>
      </c>
      <c r="C21" s="17">
        <f>C20-3000</f>
        <v/>
      </c>
      <c r="D21" s="13">
        <f>D20-2500</f>
        <v/>
      </c>
      <c r="E21" s="17">
        <f>E20-2000</f>
        <v/>
      </c>
    </row>
    <row r="22">
      <c r="B22" s="5" t="inlineStr">
        <is>
          <t>Implied Share Price</t>
        </is>
      </c>
      <c r="C22" s="25">
        <f>C21/10</f>
        <v/>
      </c>
      <c r="D22" s="26">
        <f>D21/10</f>
        <v/>
      </c>
      <c r="E22" s="25">
        <f>E21/10</f>
        <v/>
      </c>
    </row>
    <row r="24">
      <c r="B24" s="4" t="inlineStr">
        <is>
          <t>IRR Analysis</t>
        </is>
      </c>
    </row>
    <row r="25">
      <c r="B25" s="5" t="inlineStr">
        <is>
          <t>Entry Price</t>
        </is>
      </c>
      <c r="C25" s="25" t="n">
        <v>500</v>
      </c>
      <c r="D25" s="26" t="n">
        <v>500</v>
      </c>
      <c r="E25" s="25" t="n">
        <v>500</v>
      </c>
    </row>
    <row r="26">
      <c r="B26" s="5" t="inlineStr">
        <is>
          <t>Exit Price</t>
        </is>
      </c>
      <c r="C26" s="25">
        <f>C22</f>
        <v/>
      </c>
      <c r="D26" s="26">
        <f>D22</f>
        <v/>
      </c>
      <c r="E26" s="25">
        <f>E22</f>
        <v/>
      </c>
    </row>
    <row r="27">
      <c r="B27" s="5" t="inlineStr">
        <is>
          <t>5Y Return</t>
        </is>
      </c>
      <c r="C27" s="18">
        <f>(C25/C24)^0.2-1</f>
        <v/>
      </c>
      <c r="D27" s="11">
        <f>(D25/D24)^0.2-1</f>
        <v/>
      </c>
      <c r="E27" s="18">
        <f>(E25/E24)^0.2-1</f>
        <v/>
      </c>
    </row>
  </sheetData>
  <mergeCells count="3">
    <mergeCell ref="B17:E17"/>
    <mergeCell ref="B11:E11"/>
    <mergeCell ref="B24:E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</cols>
  <sheetData>
    <row r="2">
      <c r="B2" s="1" t="inlineStr">
        <is>
          <t>RELIANCE - Financial Dashboard</t>
        </is>
      </c>
    </row>
    <row r="22">
      <c r="B22" s="4" t="inlineStr">
        <is>
          <t>KEY METRICS SUMMARY</t>
        </is>
      </c>
    </row>
    <row r="23">
      <c r="B23" s="5" t="inlineStr">
        <is>
          <t>Current Revenue</t>
        </is>
      </c>
      <c r="C23" s="8">
        <f>Income_Statement!G6</f>
        <v/>
      </c>
    </row>
    <row r="24">
      <c r="B24" s="5" t="inlineStr">
        <is>
          <t>Forecast Y5 Revenue</t>
        </is>
      </c>
      <c r="C24" s="8">
        <f>Income_Statement!L6</f>
        <v/>
      </c>
    </row>
    <row r="25">
      <c r="B25" s="5" t="inlineStr">
        <is>
          <t>Revenue CAGR</t>
        </is>
      </c>
      <c r="C25" s="9">
        <f>IFERROR((Income_Statement!L6/Income_Statement!G6)^(1/5)-1,0)</f>
        <v/>
      </c>
    </row>
    <row r="26">
      <c r="B26" s="5" t="inlineStr">
        <is>
          <t>Current EBITDA Margin</t>
        </is>
      </c>
      <c r="C26" s="9">
        <f>G45</f>
        <v/>
      </c>
    </row>
    <row r="27">
      <c r="B27" s="5" t="inlineStr">
        <is>
          <t>Forecast Y5 EBITDA Margin</t>
        </is>
      </c>
      <c r="C27" s="9">
        <f>L45</f>
        <v/>
      </c>
    </row>
    <row r="28">
      <c r="B28" s="5" t="inlineStr">
        <is>
          <t>Enterprise Value</t>
        </is>
      </c>
      <c r="C28" s="8">
        <f>Valuation!C44</f>
        <v/>
      </c>
    </row>
    <row r="29">
      <c r="B29" s="5" t="inlineStr">
        <is>
          <t>Equity Value</t>
        </is>
      </c>
      <c r="C29" s="8">
        <f>Valuation!C46</f>
        <v/>
      </c>
    </row>
    <row r="30">
      <c r="B30" s="5" t="inlineStr">
        <is>
          <t>Implied Share Price</t>
        </is>
      </c>
      <c r="C30" s="7">
        <f>Valuation!C50</f>
        <v/>
      </c>
    </row>
    <row r="40">
      <c r="B40" s="4" t="inlineStr">
        <is>
          <t>Chart Data</t>
        </is>
      </c>
    </row>
    <row r="41">
      <c r="B41" t="inlineStr">
        <is>
          <t>Year</t>
        </is>
      </c>
      <c r="C41" t="inlineStr">
        <is>
          <t>FY2021</t>
        </is>
      </c>
      <c r="D41" t="inlineStr">
        <is>
          <t>FY2022</t>
        </is>
      </c>
      <c r="E41" t="inlineStr">
        <is>
          <t>FY2023</t>
        </is>
      </c>
      <c r="F41" t="inlineStr">
        <is>
          <t>FY2024</t>
        </is>
      </c>
      <c r="G41" t="inlineStr">
        <is>
          <t>FY2025</t>
        </is>
      </c>
      <c r="H41" t="inlineStr">
        <is>
          <t>FY2026</t>
        </is>
      </c>
      <c r="I41" t="inlineStr">
        <is>
          <t>FY2027</t>
        </is>
      </c>
      <c r="J41" t="inlineStr">
        <is>
          <t>FY2028</t>
        </is>
      </c>
      <c r="K41" t="inlineStr">
        <is>
          <t>FY2029</t>
        </is>
      </c>
      <c r="L41" t="inlineStr">
        <is>
          <t>FY2030</t>
        </is>
      </c>
    </row>
    <row r="42">
      <c r="B42" t="inlineStr">
        <is>
          <t>Revenue</t>
        </is>
      </c>
      <c r="C42" s="17">
        <f>Income_Statement!C6</f>
        <v/>
      </c>
      <c r="D42" s="17">
        <f>Income_Statement!D6</f>
        <v/>
      </c>
      <c r="E42" s="17">
        <f>Income_Statement!E6</f>
        <v/>
      </c>
      <c r="F42" s="17">
        <f>Income_Statement!F6</f>
        <v/>
      </c>
      <c r="G42" s="17">
        <f>Income_Statement!G6</f>
        <v/>
      </c>
      <c r="H42" s="17">
        <f>Income_Statement!H6</f>
        <v/>
      </c>
      <c r="I42" s="17">
        <f>Income_Statement!I6</f>
        <v/>
      </c>
      <c r="J42" s="17">
        <f>Income_Statement!J6</f>
        <v/>
      </c>
      <c r="K42" s="17">
        <f>Income_Statement!K6</f>
        <v/>
      </c>
      <c r="L42" s="17">
        <f>Income_Statement!L6</f>
        <v/>
      </c>
    </row>
    <row r="43">
      <c r="B43" t="inlineStr">
        <is>
          <t>EBITDA</t>
        </is>
      </c>
      <c r="C43" s="17">
        <f>Income_Statement!C15</f>
        <v/>
      </c>
      <c r="D43" s="17">
        <f>Income_Statement!D15</f>
        <v/>
      </c>
      <c r="E43" s="17">
        <f>Income_Statement!E15</f>
        <v/>
      </c>
      <c r="F43" s="17">
        <f>Income_Statement!F15</f>
        <v/>
      </c>
      <c r="G43" s="17">
        <f>Income_Statement!G15</f>
        <v/>
      </c>
      <c r="H43" s="17">
        <f>Income_Statement!H15</f>
        <v/>
      </c>
      <c r="I43" s="17">
        <f>Income_Statement!I15</f>
        <v/>
      </c>
      <c r="J43" s="17">
        <f>Income_Statement!J15</f>
        <v/>
      </c>
      <c r="K43" s="17">
        <f>Income_Statement!K15</f>
        <v/>
      </c>
      <c r="L43" s="17">
        <f>Income_Statement!L15</f>
        <v/>
      </c>
    </row>
    <row r="44">
      <c r="B44" t="inlineStr">
        <is>
          <t>Net Income</t>
        </is>
      </c>
      <c r="C44" s="17">
        <f>Income_Statement!C26</f>
        <v/>
      </c>
      <c r="D44" s="17">
        <f>Income_Statement!D26</f>
        <v/>
      </c>
      <c r="E44" s="17">
        <f>Income_Statement!E26</f>
        <v/>
      </c>
      <c r="F44" s="17">
        <f>Income_Statement!F26</f>
        <v/>
      </c>
      <c r="G44" s="17">
        <f>Income_Statement!G26</f>
        <v/>
      </c>
      <c r="H44" s="17">
        <f>Income_Statement!H26</f>
        <v/>
      </c>
      <c r="I44" s="17">
        <f>Income_Statement!I26</f>
        <v/>
      </c>
      <c r="J44" s="17">
        <f>Income_Statement!J26</f>
        <v/>
      </c>
      <c r="K44" s="17">
        <f>Income_Statement!K26</f>
        <v/>
      </c>
      <c r="L44" s="17">
        <f>Income_Statement!L26</f>
        <v/>
      </c>
    </row>
    <row r="45">
      <c r="B45" t="inlineStr">
        <is>
          <t>EBITDA Margin %</t>
        </is>
      </c>
      <c r="C45" s="18">
        <f>IFERROR(C43/C42,0)</f>
        <v/>
      </c>
      <c r="D45" s="18">
        <f>IFERROR(D43/D42,0)</f>
        <v/>
      </c>
      <c r="E45" s="18">
        <f>IFERROR(E43/E42,0)</f>
        <v/>
      </c>
      <c r="F45" s="18">
        <f>IFERROR(F43/F42,0)</f>
        <v/>
      </c>
      <c r="G45" s="18">
        <f>IFERROR(G43/G42,0)</f>
        <v/>
      </c>
      <c r="H45" s="18">
        <f>IFERROR(H43/H42,0)</f>
        <v/>
      </c>
      <c r="I45" s="18">
        <f>IFERROR(I43/I42,0)</f>
        <v/>
      </c>
      <c r="J45" s="18">
        <f>IFERROR(J43/J42,0)</f>
        <v/>
      </c>
      <c r="K45" s="18">
        <f>IFERROR(K43/K42,0)</f>
        <v/>
      </c>
      <c r="L45" s="18">
        <f>IFERROR(L43/L42,0)</f>
        <v/>
      </c>
    </row>
  </sheetData>
  <mergeCells count="1">
    <mergeCell ref="B22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2026-01-29T16:25:59Z</dcterms:created>
  <dcterms:modified xmlns:dcterms="http://purl.org/dc/terms/" xmlns:xsi="http://www.w3.org/2001/XMLSchema-instance" xsi:type="dcterms:W3CDTF">2026-01-29T16:25:59Z</dcterms:modified>
</cp:coreProperties>
</file>