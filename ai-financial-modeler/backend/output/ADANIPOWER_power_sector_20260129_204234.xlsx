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istorical" sheetId="3" state="visible" r:id="rId3"/>
    <sheet xmlns:r="http://schemas.openxmlformats.org/officeDocument/2006/relationships" name="Power_Operations" sheetId="4" state="visible" r:id="rId4"/>
    <sheet xmlns:r="http://schemas.openxmlformats.org/officeDocument/2006/relationships" name="Forecast_IS" sheetId="5" state="visible" r:id="rId5"/>
    <sheet xmlns:r="http://schemas.openxmlformats.org/officeDocument/2006/relationships" name="Forecast_BS" sheetId="6" state="visible" r:id="rId6"/>
    <sheet xmlns:r="http://schemas.openxmlformats.org/officeDocument/2006/relationships" name="Forecast_CF" sheetId="7" state="visible" r:id="rId7"/>
    <sheet xmlns:r="http://schemas.openxmlformats.org/officeDocument/2006/relationships" name="Working_Capital" sheetId="8" state="visible" r:id="rId8"/>
    <sheet xmlns:r="http://schemas.openxmlformats.org/officeDocument/2006/relationships" name="Debt_Schedule" sheetId="9" state="visible" r:id="rId9"/>
    <sheet xmlns:r="http://schemas.openxmlformats.org/officeDocument/2006/relationships" name="Valuation" sheetId="10" state="visible" r:id="rId10"/>
    <sheet xmlns:r="http://schemas.openxmlformats.org/officeDocument/2006/relationships" name="Dashboard" sheetId="11" state="visible" r:id="rId11"/>
  </sheets>
  <definedNames>
    <definedName name="Revenue_Growth_Rate">'Assumptions'!$C$7</definedName>
    <definedName name="Capex_pct_of_Revenue">'Assumptions'!$C$24</definedName>
    <definedName name="Terminal_Growth">'Assumptions'!$C$33</definedName>
    <definedName name="Gross_Margin">'Assumptions'!$C$13</definedName>
    <definedName name="EBITDA_Margin">'Assumptions'!$C$14</definedName>
    <definedName name="Cost_of_Debt">'Assumptions'!$C$32</definedName>
    <definedName name="Working_Capital_Days">'Assumptions'!$C$19</definedName>
    <definedName name="D&amp;A_pct_of_Gross_PPE">'Assumptions'!$C$23</definedName>
    <definedName name="Tax_Rate">'Assumptions'!$C$28</definedName>
    <definedName name="Risk-free_Rate">'Assumptions'!$C$29</definedName>
    <definedName name="Equity_Risk_Premium">'Assumptions'!$C$30</definedName>
    <definedName name="Beta">'Assumptions'!$C$31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₹#,##0,,&quot;Cr&quot;"/>
    <numFmt numFmtId="165" formatCode="₹#,##0"/>
    <numFmt numFmtId="166" formatCode="0.0%"/>
    <numFmt numFmtId="167" formatCode="#,##0.0"/>
    <numFmt numFmtId="168" formatCode="0.00x"/>
  </numFmts>
  <fonts count="15">
    <font>
      <name val="Calibri"/>
      <family val="2"/>
      <color theme="1"/>
      <sz val="11"/>
      <scheme val="minor"/>
    </font>
    <font>
      <name val="Calibri"/>
      <b val="1"/>
      <color rgb="001F4E79"/>
      <sz val="18"/>
    </font>
    <font>
      <name val="Calibri"/>
      <b val="1"/>
      <color rgb="00FFFFFF"/>
      <sz val="11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color rgb="00404040"/>
      <sz val="10"/>
    </font>
    <font>
      <name val="Calibri"/>
      <sz val="10"/>
    </font>
    <font>
      <name val="Calibri"/>
      <b val="1"/>
      <sz val="10"/>
    </font>
    <font>
      <name val="Calibri"/>
      <color rgb="002E75B6"/>
      <sz val="14"/>
    </font>
    <font>
      <name val="Calibri"/>
      <i val="1"/>
      <sz val="10"/>
    </font>
    <font>
      <color rgb="000563C1"/>
      <u val="single"/>
    </font>
    <font>
      <i val="1"/>
      <color rgb="00404040"/>
    </font>
    <font>
      <i val="1"/>
      <sz val="9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5">
    <border>
      <left/>
      <right/>
      <top/>
      <bottom/>
      <diagonal/>
    </border>
    <border/>
    <border>
      <bottom style="thin">
        <color rgb="000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9">
    <xf numFmtId="0" fontId="0" fillId="0" borderId="0"/>
    <xf numFmtId="0" fontId="1" fillId="0" borderId="1" applyAlignment="1">
      <alignment horizontal="left" vertical="center"/>
    </xf>
    <xf numFmtId="0" fontId="2" fillId="2" borderId="2" applyAlignment="1">
      <alignment horizontal="center" vertical="center" wrapText="1"/>
    </xf>
    <xf numFmtId="0" fontId="3" fillId="3" borderId="1" applyAlignment="1">
      <alignment horizontal="left" vertical="center"/>
    </xf>
    <xf numFmtId="0" fontId="4" fillId="4" borderId="3" applyAlignment="1">
      <alignment horizontal="right"/>
    </xf>
    <xf numFmtId="0" fontId="5" fillId="5" borderId="1" applyAlignment="1">
      <alignment horizontal="right"/>
    </xf>
    <xf numFmtId="0" fontId="6" fillId="0" borderId="1" applyAlignment="1">
      <alignment horizontal="right"/>
    </xf>
    <xf numFmtId="0" fontId="6" fillId="0" borderId="1" applyAlignment="1">
      <alignment horizontal="left" indent="1"/>
    </xf>
    <xf numFmtId="0" fontId="7" fillId="0" borderId="4" applyAlignment="1">
      <alignment horizontal="right"/>
    </xf>
  </cellStyleXfs>
  <cellXfs count="26">
    <xf numFmtId="0" fontId="0" fillId="0" borderId="0" pivotButton="0" quotePrefix="0" xfId="0"/>
    <xf numFmtId="0" fontId="1" fillId="0" borderId="1" applyAlignment="1" pivotButton="0" quotePrefix="0" xfId="1">
      <alignment horizontal="left" vertical="center"/>
    </xf>
    <xf numFmtId="0" fontId="8" fillId="0" borderId="0" pivotButton="0" quotePrefix="0" xfId="0"/>
    <xf numFmtId="0" fontId="9" fillId="0" borderId="0" pivotButton="0" quotePrefix="0" xfId="0"/>
    <xf numFmtId="0" fontId="3" fillId="3" borderId="1" applyAlignment="1" pivotButton="0" quotePrefix="0" xfId="3">
      <alignment horizontal="left" vertical="center"/>
    </xf>
    <xf numFmtId="0" fontId="6" fillId="0" borderId="1" applyAlignment="1" pivotButton="0" quotePrefix="0" xfId="7">
      <alignment horizontal="left" indent="1"/>
    </xf>
    <xf numFmtId="0" fontId="10" fillId="0" borderId="1" applyAlignment="1" pivotButton="0" quotePrefix="0" xfId="7">
      <alignment horizontal="left" indent="1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1" fillId="0" borderId="0" pivotButton="0" quotePrefix="0" xfId="0"/>
    <xf numFmtId="0" fontId="2" fillId="2" borderId="2" applyAlignment="1" pivotButton="0" quotePrefix="0" xfId="2">
      <alignment horizontal="center" vertical="center" wrapText="1"/>
    </xf>
    <xf numFmtId="166" fontId="4" fillId="4" borderId="3" applyAlignment="1" pivotButton="0" quotePrefix="0" xfId="4">
      <alignment horizontal="right"/>
    </xf>
    <xf numFmtId="0" fontId="12" fillId="0" borderId="0" pivotButton="0" quotePrefix="0" xfId="0"/>
    <xf numFmtId="3" fontId="4" fillId="4" borderId="3" applyAlignment="1" pivotButton="0" quotePrefix="0" xfId="4">
      <alignment horizontal="right"/>
    </xf>
    <xf numFmtId="0" fontId="4" fillId="4" borderId="3" applyAlignment="1" pivotButton="0" quotePrefix="0" xfId="4">
      <alignment horizontal="right"/>
    </xf>
    <xf numFmtId="0" fontId="13" fillId="0" borderId="1" applyAlignment="1" pivotButton="0" quotePrefix="0" xfId="7">
      <alignment horizontal="left" indent="1"/>
    </xf>
    <xf numFmtId="3" fontId="0" fillId="0" borderId="0" pivotButton="0" quotePrefix="0" xfId="0"/>
    <xf numFmtId="168" fontId="0" fillId="0" borderId="0" pivotButton="0" quotePrefix="0" xfId="0"/>
    <xf numFmtId="0" fontId="5" fillId="5" borderId="1" applyAlignment="1" pivotButton="0" quotePrefix="0" xfId="5">
      <alignment horizontal="right"/>
    </xf>
    <xf numFmtId="167" fontId="0" fillId="0" borderId="0" pivotButton="0" quotePrefix="0" xfId="0"/>
    <xf numFmtId="166" fontId="5" fillId="5" borderId="1" applyAlignment="1" pivotButton="0" quotePrefix="0" xfId="5">
      <alignment horizontal="right"/>
    </xf>
    <xf numFmtId="4" fontId="0" fillId="0" borderId="0" pivotButton="0" quotePrefix="0" xfId="0"/>
    <xf numFmtId="3" fontId="5" fillId="5" borderId="1" applyAlignment="1" pivotButton="0" quotePrefix="0" xfId="5">
      <alignment horizontal="right"/>
    </xf>
    <xf numFmtId="165" fontId="5" fillId="5" borderId="1" applyAlignment="1" pivotButton="0" quotePrefix="0" xfId="5">
      <alignment horizontal="right"/>
    </xf>
    <xf numFmtId="0" fontId="14" fillId="0" borderId="0" pivotButton="0" quotePrefix="0" xfId="0"/>
  </cellXfs>
  <cellStyles count="9">
    <cellStyle name="Normal" xfId="0" builtinId="0" hidden="0"/>
    <cellStyle name="title" xfId="1" hidden="0"/>
    <cellStyle name="header" xfId="2" hidden="0"/>
    <cellStyle name="subheader" xfId="3" hidden="0"/>
    <cellStyle name="input_cell" xfId="4" hidden="0"/>
    <cellStyle name="output_cell" xfId="5" hidden="0"/>
    <cellStyle name="normal_cell" xfId="6" hidden="0"/>
    <cellStyle name="label" xfId="7" hidden="0"/>
    <cellStyle name="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over'!A1" TargetMode="External" Id="rId1"/><Relationship Type="http://schemas.openxmlformats.org/officeDocument/2006/relationships/hyperlink" Target="#'Assumptions'!A1" TargetMode="External" Id="rId2"/><Relationship Type="http://schemas.openxmlformats.org/officeDocument/2006/relationships/hyperlink" Target="#'Historical'!A1" TargetMode="External" Id="rId3"/><Relationship Type="http://schemas.openxmlformats.org/officeDocument/2006/relationships/hyperlink" Target="#'Forecast_IS'!A1" TargetMode="External" Id="rId4"/><Relationship Type="http://schemas.openxmlformats.org/officeDocument/2006/relationships/hyperlink" Target="#'Forecast_BS'!A1" TargetMode="External" Id="rId5"/><Relationship Type="http://schemas.openxmlformats.org/officeDocument/2006/relationships/hyperlink" Target="#'Forecast_CF'!A1" TargetMode="External" Id="rId6"/><Relationship Type="http://schemas.openxmlformats.org/officeDocument/2006/relationships/hyperlink" Target="#'Working_Capital'!A1" TargetMode="External" Id="rId7"/><Relationship Type="http://schemas.openxmlformats.org/officeDocument/2006/relationships/hyperlink" Target="#'Debt_Schedule'!A1" TargetMode="External" Id="rId8"/><Relationship Type="http://schemas.openxmlformats.org/officeDocument/2006/relationships/hyperlink" Target="#'Valuation'!A1" TargetMode="External" Id="rId9"/><Relationship Type="http://schemas.openxmlformats.org/officeDocument/2006/relationships/hyperlink" Target="#'Dashboard'!A1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6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20" customWidth="1" min="3" max="3"/>
    <col width="5" customWidth="1" min="4" max="4"/>
    <col width="25" customWidth="1" min="5" max="5"/>
    <col width="20" customWidth="1" min="6" max="6"/>
  </cols>
  <sheetData>
    <row r="2">
      <c r="B2" s="1" t="inlineStr">
        <is>
          <t>ADANIPOWER</t>
        </is>
      </c>
    </row>
    <row r="3">
      <c r="B3" s="2" t="inlineStr">
        <is>
          <t>Financial Model</t>
        </is>
      </c>
    </row>
    <row r="4">
      <c r="B4" s="3" t="inlineStr">
        <is>
          <t>Model Date: 29-Jan-2026</t>
        </is>
      </c>
    </row>
    <row r="7">
      <c r="B7" s="4" t="inlineStr">
        <is>
          <t>Company Information</t>
        </is>
      </c>
      <c r="E7" s="4" t="inlineStr">
        <is>
          <t>Model Navigation</t>
        </is>
      </c>
    </row>
    <row r="8">
      <c r="B8" s="5" t="inlineStr">
        <is>
          <t>Industry</t>
        </is>
      </c>
      <c r="C8" t="inlineStr">
        <is>
          <t>Power &amp; Utilities</t>
        </is>
      </c>
      <c r="E8" s="6" t="inlineStr">
        <is>
          <t>Cover</t>
        </is>
      </c>
    </row>
    <row r="9">
      <c r="B9" s="5" t="inlineStr">
        <is>
          <t>Sub-sector</t>
        </is>
      </c>
      <c r="C9" t="inlineStr"/>
      <c r="E9" s="6" t="inlineStr">
        <is>
          <t>Assumptions</t>
        </is>
      </c>
    </row>
    <row r="10">
      <c r="B10" s="5" t="inlineStr">
        <is>
          <t>Model Type</t>
        </is>
      </c>
      <c r="C10" t="inlineStr">
        <is>
          <t>Power Sector</t>
        </is>
      </c>
      <c r="E10" s="6" t="inlineStr">
        <is>
          <t>Historical</t>
        </is>
      </c>
    </row>
    <row r="11">
      <c r="E11" s="6" t="inlineStr">
        <is>
          <t>Forecast_IS</t>
        </is>
      </c>
    </row>
    <row r="12">
      <c r="E12" s="6" t="inlineStr">
        <is>
          <t>Forecast_BS</t>
        </is>
      </c>
    </row>
    <row r="13">
      <c r="B13" s="4" t="inlineStr">
        <is>
          <t>Key Metrics</t>
        </is>
      </c>
      <c r="E13" s="6" t="inlineStr">
        <is>
          <t>Forecast_CF</t>
        </is>
      </c>
    </row>
    <row r="14">
      <c r="B14" s="5" t="inlineStr">
        <is>
          <t>Current Price</t>
        </is>
      </c>
      <c r="C14" t="inlineStr">
        <is>
          <t>N/A</t>
        </is>
      </c>
      <c r="E14" s="6" t="inlineStr">
        <is>
          <t>Working_Capital</t>
        </is>
      </c>
    </row>
    <row r="15">
      <c r="B15" s="5" t="inlineStr">
        <is>
          <t>Market Cap</t>
        </is>
      </c>
      <c r="C15" t="inlineStr">
        <is>
          <t>N/A</t>
        </is>
      </c>
      <c r="E15" s="6" t="inlineStr">
        <is>
          <t>Debt_Schedule</t>
        </is>
      </c>
    </row>
    <row r="16">
      <c r="B16" s="5" t="inlineStr">
        <is>
          <t>P/E Ratio</t>
        </is>
      </c>
      <c r="C16" t="inlineStr">
        <is>
          <t>N/A</t>
        </is>
      </c>
      <c r="E16" s="6" t="inlineStr">
        <is>
          <t>Valuation</t>
        </is>
      </c>
    </row>
    <row r="17">
      <c r="B17" s="5" t="inlineStr">
        <is>
          <t>Revenue (LTM)</t>
        </is>
      </c>
      <c r="C17" t="inlineStr">
        <is>
          <t>N/A</t>
        </is>
      </c>
      <c r="E17" s="6" t="inlineStr">
        <is>
          <t>Dashboard</t>
        </is>
      </c>
    </row>
    <row r="18">
      <c r="B18" s="5" t="inlineStr">
        <is>
          <t>EBITDA (LTM)</t>
        </is>
      </c>
      <c r="C18" t="inlineStr">
        <is>
          <t>N/A</t>
        </is>
      </c>
    </row>
    <row r="19">
      <c r="B19" s="5" t="inlineStr">
        <is>
          <t>ROE</t>
        </is>
      </c>
      <c r="C19" t="inlineStr">
        <is>
          <t>N/A</t>
        </is>
      </c>
    </row>
    <row r="22">
      <c r="B22" s="4" t="inlineStr">
        <is>
          <t>Valuation Summary</t>
        </is>
      </c>
    </row>
    <row r="23">
      <c r="B23" s="5" t="inlineStr">
        <is>
          <t>DCF Equity Value</t>
        </is>
      </c>
      <c r="C23" s="7">
        <f>Valuation!$G$25</f>
        <v/>
      </c>
    </row>
    <row r="24">
      <c r="B24" s="5" t="inlineStr">
        <is>
          <t>Implied Share Price</t>
        </is>
      </c>
      <c r="C24" s="8">
        <f>Valuation!$G$28</f>
        <v/>
      </c>
    </row>
    <row r="25">
      <c r="B25" s="5" t="inlineStr">
        <is>
          <t>Current Price</t>
        </is>
      </c>
      <c r="C25" s="8" t="n"/>
    </row>
    <row r="26">
      <c r="B26" s="5" t="inlineStr">
        <is>
          <t>Upside / Downside</t>
        </is>
      </c>
      <c r="C26" s="9">
        <f>IFERROR((Valuation!$G$28/C25)-1, 0)</f>
        <v/>
      </c>
    </row>
  </sheetData>
  <mergeCells count="5">
    <mergeCell ref="B13:C13"/>
    <mergeCell ref="B7:C7"/>
    <mergeCell ref="B2:F2"/>
    <mergeCell ref="E7:F7"/>
    <mergeCell ref="B22:C22"/>
  </mergeCells>
  <hyperlinks>
    <hyperlink xmlns:r="http://schemas.openxmlformats.org/officeDocument/2006/relationships" ref="E8" r:id="rId1"/>
    <hyperlink xmlns:r="http://schemas.openxmlformats.org/officeDocument/2006/relationships" ref="E9" r:id="rId2"/>
    <hyperlink xmlns:r="http://schemas.openxmlformats.org/officeDocument/2006/relationships" ref="E10" r:id="rId3"/>
    <hyperlink xmlns:r="http://schemas.openxmlformats.org/officeDocument/2006/relationships" ref="E11" r:id="rId4"/>
    <hyperlink xmlns:r="http://schemas.openxmlformats.org/officeDocument/2006/relationships" ref="E12" r:id="rId5"/>
    <hyperlink xmlns:r="http://schemas.openxmlformats.org/officeDocument/2006/relationships" ref="E13" r:id="rId6"/>
    <hyperlink xmlns:r="http://schemas.openxmlformats.org/officeDocument/2006/relationships" ref="E14" r:id="rId7"/>
    <hyperlink xmlns:r="http://schemas.openxmlformats.org/officeDocument/2006/relationships" ref="E15" r:id="rId8"/>
    <hyperlink xmlns:r="http://schemas.openxmlformats.org/officeDocument/2006/relationships" ref="E16" r:id="rId9"/>
    <hyperlink xmlns:r="http://schemas.openxmlformats.org/officeDocument/2006/relationships" ref="E17" r:id="rId10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E3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5" customWidth="1" min="3" max="3"/>
    <col width="10" customWidth="1" min="4" max="4"/>
    <col width="40" customWidth="1" min="5" max="5"/>
  </cols>
  <sheetData>
    <row r="2">
      <c r="B2" s="1" t="inlineStr">
        <is>
          <t>Model Assumptions</t>
        </is>
      </c>
    </row>
    <row r="3">
      <c r="B3" s="10" t="inlineStr">
        <is>
          <t>Yellow cells are inputs - modify these to update the model</t>
        </is>
      </c>
    </row>
    <row r="5">
      <c r="B5" s="4" t="inlineStr">
        <is>
          <t>Growth &amp; Revenue</t>
        </is>
      </c>
    </row>
    <row r="6">
      <c r="B6" s="11" t="inlineStr">
        <is>
          <t>Assumption</t>
        </is>
      </c>
      <c r="C6" s="11" t="inlineStr">
        <is>
          <t>Value</t>
        </is>
      </c>
      <c r="D6" s="11" t="inlineStr">
        <is>
          <t>Unit</t>
        </is>
      </c>
      <c r="E6" s="11" t="inlineStr">
        <is>
          <t>Driver Logic</t>
        </is>
      </c>
    </row>
    <row r="7">
      <c r="B7" s="5" t="inlineStr">
        <is>
          <t>Revenue Growth Rate</t>
        </is>
      </c>
      <c r="C7" s="12" t="n">
        <v>0.1</v>
      </c>
      <c r="D7" t="inlineStr">
        <is>
          <t>percent</t>
        </is>
      </c>
      <c r="E7" s="13" t="inlineStr">
        <is>
          <t>Industry growth + market share gains</t>
        </is>
      </c>
    </row>
    <row r="8">
      <c r="B8" s="5" t="inlineStr">
        <is>
          <t>Capex % of Revenue</t>
        </is>
      </c>
      <c r="C8" s="12" t="n">
        <v>0.05</v>
      </c>
      <c r="D8" t="inlineStr">
        <is>
          <t>percent</t>
        </is>
      </c>
      <c r="E8" s="13" t="inlineStr">
        <is>
          <t>Maintenance + growth capex</t>
        </is>
      </c>
    </row>
    <row r="9">
      <c r="B9" s="5" t="inlineStr">
        <is>
          <t>Terminal Growth</t>
        </is>
      </c>
      <c r="C9" s="12" t="n">
        <v>0.04</v>
      </c>
      <c r="D9" t="inlineStr">
        <is>
          <t>percent</t>
        </is>
      </c>
      <c r="E9" s="13" t="inlineStr">
        <is>
          <t>Long-term GDP growth</t>
        </is>
      </c>
    </row>
    <row r="11">
      <c r="B11" s="4" t="inlineStr">
        <is>
          <t>Margins &amp; Costs</t>
        </is>
      </c>
    </row>
    <row r="12">
      <c r="B12" s="11" t="inlineStr">
        <is>
          <t>Assumption</t>
        </is>
      </c>
      <c r="C12" s="11" t="inlineStr">
        <is>
          <t>Value</t>
        </is>
      </c>
      <c r="D12" s="11" t="inlineStr">
        <is>
          <t>Unit</t>
        </is>
      </c>
      <c r="E12" s="11" t="inlineStr">
        <is>
          <t>Driver Logic</t>
        </is>
      </c>
    </row>
    <row r="13">
      <c r="B13" s="5" t="inlineStr">
        <is>
          <t>Gross Margin</t>
        </is>
      </c>
      <c r="C13" s="12" t="n">
        <v>0.4</v>
      </c>
      <c r="D13" t="inlineStr">
        <is>
          <t>percent</t>
        </is>
      </c>
      <c r="E13" s="13" t="inlineStr">
        <is>
          <t>Historical average with efficiency improvements</t>
        </is>
      </c>
    </row>
    <row r="14">
      <c r="B14" s="5" t="inlineStr">
        <is>
          <t>EBITDA Margin</t>
        </is>
      </c>
      <c r="C14" s="12" t="n">
        <v>0.2</v>
      </c>
      <c r="D14" t="inlineStr">
        <is>
          <t>percent</t>
        </is>
      </c>
      <c r="E14" s="13" t="inlineStr">
        <is>
          <t>Operating leverage and cost optimization</t>
        </is>
      </c>
    </row>
    <row r="15">
      <c r="B15" s="5" t="inlineStr">
        <is>
          <t>Cost of Debt</t>
        </is>
      </c>
      <c r="C15" s="12" t="n">
        <v>0.1</v>
      </c>
      <c r="D15" t="inlineStr">
        <is>
          <t>percent</t>
        </is>
      </c>
      <c r="E15" s="13" t="inlineStr">
        <is>
          <t>Current borrowing rate</t>
        </is>
      </c>
    </row>
    <row r="17">
      <c r="B17" s="4" t="inlineStr">
        <is>
          <t>Working Capital</t>
        </is>
      </c>
    </row>
    <row r="18">
      <c r="B18" s="11" t="inlineStr">
        <is>
          <t>Assumption</t>
        </is>
      </c>
      <c r="C18" s="11" t="inlineStr">
        <is>
          <t>Value</t>
        </is>
      </c>
      <c r="D18" s="11" t="inlineStr">
        <is>
          <t>Unit</t>
        </is>
      </c>
      <c r="E18" s="11" t="inlineStr">
        <is>
          <t>Driver Logic</t>
        </is>
      </c>
    </row>
    <row r="19">
      <c r="B19" s="5" t="inlineStr">
        <is>
          <t>Working Capital Days</t>
        </is>
      </c>
      <c r="C19" s="14" t="n">
        <v>45</v>
      </c>
      <c r="D19" t="inlineStr">
        <is>
          <t>days</t>
        </is>
      </c>
      <c r="E19" s="13" t="inlineStr">
        <is>
          <t>Industry benchmark</t>
        </is>
      </c>
    </row>
    <row r="21">
      <c r="B21" s="4" t="inlineStr">
        <is>
          <t>Capital Structure</t>
        </is>
      </c>
    </row>
    <row r="22">
      <c r="B22" s="11" t="inlineStr">
        <is>
          <t>Assumption</t>
        </is>
      </c>
      <c r="C22" s="11" t="inlineStr">
        <is>
          <t>Value</t>
        </is>
      </c>
      <c r="D22" s="11" t="inlineStr">
        <is>
          <t>Unit</t>
        </is>
      </c>
      <c r="E22" s="11" t="inlineStr">
        <is>
          <t>Driver Logic</t>
        </is>
      </c>
    </row>
    <row r="23">
      <c r="B23" s="5" t="inlineStr">
        <is>
          <t>D&amp;A % of Gross PPE</t>
        </is>
      </c>
      <c r="C23" s="12" t="n">
        <v>0.05</v>
      </c>
      <c r="D23" t="inlineStr">
        <is>
          <t>percent</t>
        </is>
      </c>
      <c r="E23" s="13" t="inlineStr">
        <is>
          <t>Based on asset life</t>
        </is>
      </c>
    </row>
    <row r="24">
      <c r="B24" s="5" t="inlineStr">
        <is>
          <t>Capex % of Revenue</t>
        </is>
      </c>
      <c r="C24" s="12" t="n">
        <v>0.05</v>
      </c>
      <c r="D24" t="inlineStr">
        <is>
          <t>percent</t>
        </is>
      </c>
      <c r="E24" s="13" t="inlineStr">
        <is>
          <t>Maintenance + growth capex</t>
        </is>
      </c>
    </row>
    <row r="26">
      <c r="B26" s="4" t="inlineStr">
        <is>
          <t>Valuation</t>
        </is>
      </c>
    </row>
    <row r="27">
      <c r="B27" s="11" t="inlineStr">
        <is>
          <t>Assumption</t>
        </is>
      </c>
      <c r="C27" s="11" t="inlineStr">
        <is>
          <t>Value</t>
        </is>
      </c>
      <c r="D27" s="11" t="inlineStr">
        <is>
          <t>Unit</t>
        </is>
      </c>
      <c r="E27" s="11" t="inlineStr">
        <is>
          <t>Driver Logic</t>
        </is>
      </c>
    </row>
    <row r="28">
      <c r="B28" s="5" t="inlineStr">
        <is>
          <t>Tax Rate</t>
        </is>
      </c>
      <c r="C28" s="12" t="n">
        <v>0.25</v>
      </c>
      <c r="D28" t="inlineStr">
        <is>
          <t>percent</t>
        </is>
      </c>
      <c r="E28" s="13" t="inlineStr">
        <is>
          <t>Statutory rate</t>
        </is>
      </c>
    </row>
    <row r="29">
      <c r="B29" s="5" t="inlineStr">
        <is>
          <t>Risk-free Rate</t>
        </is>
      </c>
      <c r="C29" s="12" t="n">
        <v>0.07000000000000001</v>
      </c>
      <c r="D29" t="inlineStr">
        <is>
          <t>percent</t>
        </is>
      </c>
      <c r="E29" s="13" t="inlineStr">
        <is>
          <t>10-year G-Sec yield</t>
        </is>
      </c>
    </row>
    <row r="30">
      <c r="B30" s="5" t="inlineStr">
        <is>
          <t>Equity Risk Premium</t>
        </is>
      </c>
      <c r="C30" s="12" t="n">
        <v>0.06</v>
      </c>
      <c r="D30" t="inlineStr">
        <is>
          <t>percent</t>
        </is>
      </c>
      <c r="E30" s="13" t="inlineStr">
        <is>
          <t>India market risk premium</t>
        </is>
      </c>
    </row>
    <row r="31">
      <c r="B31" s="5" t="inlineStr">
        <is>
          <t>Beta</t>
        </is>
      </c>
      <c r="C31" s="15" t="n">
        <v>1</v>
      </c>
      <c r="D31" t="inlineStr">
        <is>
          <t>number</t>
        </is>
      </c>
      <c r="E31" s="13" t="inlineStr">
        <is>
          <t>Industry average</t>
        </is>
      </c>
    </row>
    <row r="32">
      <c r="B32" s="5" t="inlineStr">
        <is>
          <t>Cost of Debt</t>
        </is>
      </c>
      <c r="C32" s="12" t="n">
        <v>0.1</v>
      </c>
      <c r="D32" t="inlineStr">
        <is>
          <t>percent</t>
        </is>
      </c>
      <c r="E32" s="13" t="inlineStr">
        <is>
          <t>Current borrowing rate</t>
        </is>
      </c>
    </row>
    <row r="33">
      <c r="B33" s="5" t="inlineStr">
        <is>
          <t>Terminal Growth</t>
        </is>
      </c>
      <c r="C33" s="12" t="n">
        <v>0.04</v>
      </c>
      <c r="D33" t="inlineStr">
        <is>
          <t>percent</t>
        </is>
      </c>
      <c r="E33" s="13" t="inlineStr">
        <is>
          <t>Long-term GDP growth</t>
        </is>
      </c>
    </row>
  </sheetData>
  <mergeCells count="5">
    <mergeCell ref="B26:E26"/>
    <mergeCell ref="B17:E17"/>
    <mergeCell ref="B21:E21"/>
    <mergeCell ref="B11:E11"/>
    <mergeCell ref="B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40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1" t="inlineStr">
        <is>
          <t>Historical Financials</t>
        </is>
      </c>
    </row>
    <row r="4">
      <c r="B4" s="13" t="inlineStr">
        <is>
          <t>₹ in Crores</t>
        </is>
      </c>
      <c r="C4" s="11" t="inlineStr">
        <is>
          <t>FY2021</t>
        </is>
      </c>
      <c r="D4" s="11" t="inlineStr">
        <is>
          <t>FY2022</t>
        </is>
      </c>
      <c r="E4" s="11" t="inlineStr">
        <is>
          <t>FY2023</t>
        </is>
      </c>
      <c r="F4" s="11" t="inlineStr">
        <is>
          <t>FY2024</t>
        </is>
      </c>
      <c r="G4" s="11" t="inlineStr">
        <is>
          <t>FY2025</t>
        </is>
      </c>
    </row>
    <row r="6">
      <c r="B6" s="4" t="inlineStr">
        <is>
          <t>Income Statement</t>
        </is>
      </c>
    </row>
    <row r="7">
      <c r="B7" s="5" t="inlineStr">
        <is>
          <t>Revenue</t>
        </is>
      </c>
    </row>
    <row r="8">
      <c r="B8" s="5" t="inlineStr">
        <is>
          <t>Cost of Goods Sold</t>
        </is>
      </c>
    </row>
    <row r="9">
      <c r="B9" s="16" t="inlineStr">
        <is>
          <t>Gross Profit</t>
        </is>
      </c>
    </row>
    <row r="10">
      <c r="B10" s="5" t="inlineStr">
        <is>
          <t>Operating Expenses</t>
        </is>
      </c>
    </row>
    <row r="11">
      <c r="B11" s="16" t="inlineStr">
        <is>
          <t>EBITDA</t>
        </is>
      </c>
    </row>
    <row r="12">
      <c r="B12" s="5" t="inlineStr">
        <is>
          <t>Depreciation &amp; Amortization</t>
        </is>
      </c>
    </row>
    <row r="13">
      <c r="B13" s="16" t="inlineStr">
        <is>
          <t>EBIT</t>
        </is>
      </c>
    </row>
    <row r="14">
      <c r="B14" s="5" t="inlineStr">
        <is>
          <t>Interest Expense</t>
        </is>
      </c>
    </row>
    <row r="15">
      <c r="B15" s="5" t="inlineStr">
        <is>
          <t>Pre-tax Income</t>
        </is>
      </c>
    </row>
    <row r="16">
      <c r="B16" s="5" t="inlineStr">
        <is>
          <t>Tax Expense</t>
        </is>
      </c>
    </row>
    <row r="17">
      <c r="B17" s="16" t="inlineStr">
        <is>
          <t>Net Income</t>
        </is>
      </c>
    </row>
    <row r="20">
      <c r="B20" s="4" t="inlineStr">
        <is>
          <t>Balance Sheet</t>
        </is>
      </c>
    </row>
    <row r="21">
      <c r="B21" s="5" t="inlineStr">
        <is>
          <t>Cash &amp; Equivalents</t>
        </is>
      </c>
    </row>
    <row r="22">
      <c r="B22" s="5" t="inlineStr">
        <is>
          <t>Trade Receivables</t>
        </is>
      </c>
    </row>
    <row r="23">
      <c r="B23" s="5" t="inlineStr">
        <is>
          <t>Inventory</t>
        </is>
      </c>
    </row>
    <row r="24">
      <c r="B24" s="16" t="inlineStr">
        <is>
          <t>Total Current Assets</t>
        </is>
      </c>
    </row>
    <row r="25">
      <c r="B25" s="5" t="inlineStr">
        <is>
          <t>Property, Plant &amp; Equipment</t>
        </is>
      </c>
    </row>
    <row r="26">
      <c r="B26" s="16" t="inlineStr">
        <is>
          <t>Total Assets</t>
        </is>
      </c>
    </row>
    <row r="28">
      <c r="B28" s="5" t="inlineStr">
        <is>
          <t>Trade Payables</t>
        </is>
      </c>
    </row>
    <row r="29">
      <c r="B29" s="5" t="inlineStr">
        <is>
          <t>Short-term Debt</t>
        </is>
      </c>
    </row>
    <row r="30">
      <c r="B30" s="16" t="inlineStr">
        <is>
          <t>Total Current Liabilities</t>
        </is>
      </c>
    </row>
    <row r="31">
      <c r="B31" s="5" t="inlineStr">
        <is>
          <t>Long-term Debt</t>
        </is>
      </c>
    </row>
    <row r="32">
      <c r="B32" s="16" t="inlineStr">
        <is>
          <t>Total Liabilities</t>
        </is>
      </c>
    </row>
    <row r="33">
      <c r="B33" s="16" t="inlineStr">
        <is>
          <t>Total Equity</t>
        </is>
      </c>
    </row>
    <row r="36">
      <c r="B36" s="4" t="inlineStr">
        <is>
          <t>Cash Flow Statement</t>
        </is>
      </c>
    </row>
    <row r="37">
      <c r="B37" s="5" t="inlineStr">
        <is>
          <t>Operating Cash Flow</t>
        </is>
      </c>
    </row>
    <row r="38">
      <c r="B38" s="5" t="inlineStr">
        <is>
          <t>Capital Expenditure</t>
        </is>
      </c>
    </row>
    <row r="39">
      <c r="B39" s="16" t="inlineStr">
        <is>
          <t>Free Cash Flow</t>
        </is>
      </c>
    </row>
    <row r="40">
      <c r="B40" s="5" t="inlineStr">
        <is>
          <t>Dividends Paid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H33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Power Operations</t>
        </is>
      </c>
    </row>
    <row r="4"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CAPACITY</t>
        </is>
      </c>
    </row>
    <row r="7">
      <c r="B7" s="5" t="inlineStr">
        <is>
          <t>Installed Capacity (MW)</t>
        </is>
      </c>
      <c r="D7" s="14">
        <f>C7</f>
        <v/>
      </c>
      <c r="E7" s="14">
        <f>D7</f>
        <v/>
      </c>
      <c r="F7" s="14">
        <f>E7</f>
        <v/>
      </c>
      <c r="G7" s="14">
        <f>F7</f>
        <v/>
      </c>
      <c r="H7" s="14">
        <f>G7</f>
        <v/>
      </c>
    </row>
    <row r="8">
      <c r="B8" s="5" t="inlineStr">
        <is>
          <t>Operational Capacity (MW)</t>
        </is>
      </c>
      <c r="D8" s="17">
        <f>C7*0.95</f>
        <v/>
      </c>
      <c r="E8" s="17">
        <f>D7*0.95</f>
        <v/>
      </c>
      <c r="F8" s="17">
        <f>E7*0.95</f>
        <v/>
      </c>
      <c r="G8" s="17">
        <f>F7*0.95</f>
        <v/>
      </c>
      <c r="H8" s="17">
        <f>G7*0.95</f>
        <v/>
      </c>
    </row>
    <row r="10">
      <c r="B10" s="4" t="inlineStr">
        <is>
          <t>GENERATION</t>
        </is>
      </c>
    </row>
    <row r="11">
      <c r="B11" s="5" t="inlineStr">
        <is>
          <t>Plant Load Factor (%)</t>
        </is>
      </c>
      <c r="D11" s="12">
        <f>PLF</f>
        <v/>
      </c>
      <c r="E11" s="12">
        <f>PLF</f>
        <v/>
      </c>
      <c r="F11" s="12">
        <f>PLF</f>
        <v/>
      </c>
      <c r="G11" s="12">
        <f>PLF</f>
        <v/>
      </c>
      <c r="H11" s="12">
        <f>PLF</f>
        <v/>
      </c>
    </row>
    <row r="12">
      <c r="B12" s="5" t="inlineStr">
        <is>
          <t>Availability Factor (%)</t>
        </is>
      </c>
      <c r="D12" s="12">
        <f>0.90</f>
        <v/>
      </c>
      <c r="E12" s="12">
        <f>0.90</f>
        <v/>
      </c>
      <c r="F12" s="12">
        <f>0.90</f>
        <v/>
      </c>
      <c r="G12" s="12">
        <f>0.90</f>
        <v/>
      </c>
      <c r="H12" s="12">
        <f>0.90</f>
        <v/>
      </c>
    </row>
    <row r="13">
      <c r="B13" s="5" t="inlineStr">
        <is>
          <t>Hours in Year</t>
        </is>
      </c>
      <c r="D13" s="17">
        <f>8760</f>
        <v/>
      </c>
      <c r="E13" s="17">
        <f>8760</f>
        <v/>
      </c>
      <c r="F13" s="17">
        <f>8760</f>
        <v/>
      </c>
      <c r="G13" s="17">
        <f>8760</f>
        <v/>
      </c>
      <c r="H13" s="17">
        <f>8760</f>
        <v/>
      </c>
    </row>
    <row r="14">
      <c r="B14" s="5" t="inlineStr">
        <is>
          <t>Units Generated (MU)</t>
        </is>
      </c>
      <c r="D14" s="17">
        <f>C8*C11*C13/1000</f>
        <v/>
      </c>
      <c r="E14" s="17">
        <f>D8*D11*D13/1000</f>
        <v/>
      </c>
      <c r="F14" s="17">
        <f>E8*E11*E13/1000</f>
        <v/>
      </c>
      <c r="G14" s="17">
        <f>F8*F11*F13/1000</f>
        <v/>
      </c>
      <c r="H14" s="17">
        <f>G8*G11*G13/1000</f>
        <v/>
      </c>
    </row>
    <row r="16">
      <c r="B16" s="4" t="inlineStr">
        <is>
          <t>REVENUE</t>
        </is>
      </c>
    </row>
    <row r="17">
      <c r="B17" s="5" t="inlineStr">
        <is>
          <t>Tariff per kWh (₹)</t>
        </is>
      </c>
      <c r="D17" s="14">
        <f>Tariff_per_kWh</f>
        <v/>
      </c>
      <c r="E17" s="14">
        <f>Tariff_per_kWh</f>
        <v/>
      </c>
      <c r="F17" s="14">
        <f>Tariff_per_kWh</f>
        <v/>
      </c>
      <c r="G17" s="14">
        <f>Tariff_per_kWh</f>
        <v/>
      </c>
      <c r="H17" s="14">
        <f>Tariff_per_kWh</f>
        <v/>
      </c>
    </row>
    <row r="18">
      <c r="B18" s="5" t="inlineStr">
        <is>
          <t>Capacity Charges</t>
        </is>
      </c>
      <c r="D18" s="17">
        <f>C8*C16*0.4*1000</f>
        <v/>
      </c>
      <c r="E18" s="17">
        <f>D8*D16*0.4*1000</f>
        <v/>
      </c>
      <c r="F18" s="17">
        <f>E8*E16*0.4*1000</f>
        <v/>
      </c>
      <c r="G18" s="17">
        <f>F8*F16*0.4*1000</f>
        <v/>
      </c>
      <c r="H18" s="17">
        <f>G8*G16*0.4*1000</f>
        <v/>
      </c>
    </row>
    <row r="19">
      <c r="B19" s="5" t="inlineStr">
        <is>
          <t>Energy Charges</t>
        </is>
      </c>
      <c r="D19" s="17">
        <f>C14*C16*10</f>
        <v/>
      </c>
      <c r="E19" s="17">
        <f>D14*D16*10</f>
        <v/>
      </c>
      <c r="F19" s="17">
        <f>E14*E16*10</f>
        <v/>
      </c>
      <c r="G19" s="17">
        <f>F14*F16*10</f>
        <v/>
      </c>
      <c r="H19" s="17">
        <f>G14*G16*10</f>
        <v/>
      </c>
    </row>
    <row r="20">
      <c r="B20" s="16" t="inlineStr">
        <is>
          <t>Total Revenue</t>
        </is>
      </c>
      <c r="D20" s="17">
        <f>C17+C18</f>
        <v/>
      </c>
      <c r="E20" s="17">
        <f>D17+D18</f>
        <v/>
      </c>
      <c r="F20" s="17">
        <f>E17+E18</f>
        <v/>
      </c>
      <c r="G20" s="17">
        <f>F17+F18</f>
        <v/>
      </c>
      <c r="H20" s="17">
        <f>G17+G18</f>
        <v/>
      </c>
    </row>
    <row r="22">
      <c r="B22" s="4" t="inlineStr">
        <is>
          <t>FUEL &amp; COSTS</t>
        </is>
      </c>
    </row>
    <row r="23">
      <c r="B23" s="5" t="inlineStr">
        <is>
          <t>Heat Rate (kcal/kWh)</t>
        </is>
      </c>
      <c r="D23" s="14">
        <f>2500</f>
        <v/>
      </c>
      <c r="E23" s="14">
        <f>2500</f>
        <v/>
      </c>
      <c r="F23" s="14">
        <f>2500</f>
        <v/>
      </c>
      <c r="G23" s="14">
        <f>2500</f>
        <v/>
      </c>
      <c r="H23" s="14">
        <f>2500</f>
        <v/>
      </c>
    </row>
    <row r="24">
      <c r="B24" s="5" t="inlineStr">
        <is>
          <t>Coal Price (₹/ton)</t>
        </is>
      </c>
      <c r="D24" s="14">
        <f>5000</f>
        <v/>
      </c>
      <c r="E24" s="14">
        <f>5000</f>
        <v/>
      </c>
      <c r="F24" s="14">
        <f>5000</f>
        <v/>
      </c>
      <c r="G24" s="14">
        <f>5000</f>
        <v/>
      </c>
      <c r="H24" s="14">
        <f>5000</f>
        <v/>
      </c>
    </row>
    <row r="25">
      <c r="B25" s="5" t="inlineStr">
        <is>
          <t>Coal Consumption (tons)</t>
        </is>
      </c>
      <c r="D25" s="17">
        <f>C14*C21*1000000/5000000</f>
        <v/>
      </c>
      <c r="E25" s="17">
        <f>D14*D21*1000000/5000000</f>
        <v/>
      </c>
      <c r="F25" s="17">
        <f>E14*E21*1000000/5000000</f>
        <v/>
      </c>
      <c r="G25" s="17">
        <f>F14*F21*1000000/5000000</f>
        <v/>
      </c>
      <c r="H25" s="17">
        <f>G14*G21*1000000/5000000</f>
        <v/>
      </c>
    </row>
    <row r="26">
      <c r="B26" s="5" t="inlineStr">
        <is>
          <t>Fuel Cost</t>
        </is>
      </c>
      <c r="D26" s="17">
        <f>C23*C22</f>
        <v/>
      </c>
      <c r="E26" s="17">
        <f>D23*D22</f>
        <v/>
      </c>
      <c r="F26" s="17">
        <f>E23*E22</f>
        <v/>
      </c>
      <c r="G26" s="17">
        <f>F23*F22</f>
        <v/>
      </c>
      <c r="H26" s="17">
        <f>G23*G22</f>
        <v/>
      </c>
    </row>
    <row r="27">
      <c r="B27" s="5" t="inlineStr">
        <is>
          <t>Other O&amp;M</t>
        </is>
      </c>
      <c r="D27" s="17">
        <f>C19*0.10</f>
        <v/>
      </c>
      <c r="E27" s="17">
        <f>D19*0.10</f>
        <v/>
      </c>
      <c r="F27" s="17">
        <f>E19*0.10</f>
        <v/>
      </c>
      <c r="G27" s="17">
        <f>F19*0.10</f>
        <v/>
      </c>
      <c r="H27" s="17">
        <f>G19*0.10</f>
        <v/>
      </c>
    </row>
    <row r="28">
      <c r="B28" s="16" t="inlineStr">
        <is>
          <t>EBITDA</t>
        </is>
      </c>
      <c r="D28" s="17">
        <f>C19-C24-C25</f>
        <v/>
      </c>
      <c r="E28" s="17">
        <f>D19-D24-D25</f>
        <v/>
      </c>
      <c r="F28" s="17">
        <f>E19-E24-E25</f>
        <v/>
      </c>
      <c r="G28" s="17">
        <f>F19-F24-F25</f>
        <v/>
      </c>
      <c r="H28" s="17">
        <f>G19-G24-G25</f>
        <v/>
      </c>
    </row>
    <row r="30">
      <c r="B30" s="4" t="inlineStr">
        <is>
          <t>PROJECT FINANCE</t>
        </is>
      </c>
    </row>
    <row r="31">
      <c r="B31" s="5" t="inlineStr">
        <is>
          <t>Cash Flow for Debt Service</t>
        </is>
      </c>
      <c r="D31" s="17">
        <f>C26+Forecast_IS!C15</f>
        <v/>
      </c>
      <c r="E31" s="17">
        <f>D26+Forecast_IS!D15</f>
        <v/>
      </c>
      <c r="F31" s="17">
        <f>E26+Forecast_IS!E15</f>
        <v/>
      </c>
      <c r="G31" s="17">
        <f>F26+Forecast_IS!F15</f>
        <v/>
      </c>
      <c r="H31" s="17">
        <f>G26+Forecast_IS!G15</f>
        <v/>
      </c>
    </row>
    <row r="32">
      <c r="B32" s="5" t="inlineStr">
        <is>
          <t>Debt Service</t>
        </is>
      </c>
      <c r="D32" s="17">
        <f>Debt_Schedule!C22+Debt_Schedule!C13</f>
        <v/>
      </c>
      <c r="E32" s="17">
        <f>Debt_Schedule!D22+Debt_Schedule!D13</f>
        <v/>
      </c>
      <c r="F32" s="17">
        <f>Debt_Schedule!E22+Debt_Schedule!E13</f>
        <v/>
      </c>
      <c r="G32" s="17">
        <f>Debt_Schedule!F22+Debt_Schedule!F13</f>
        <v/>
      </c>
      <c r="H32" s="17">
        <f>Debt_Schedule!G22+Debt_Schedule!G13</f>
        <v/>
      </c>
    </row>
    <row r="33">
      <c r="B33" s="16" t="inlineStr">
        <is>
          <t>DSCR</t>
        </is>
      </c>
      <c r="D33" s="18">
        <f>IFERROR(C28/C29,0)</f>
        <v/>
      </c>
      <c r="E33" s="18">
        <f>IFERROR(D28/D29,0)</f>
        <v/>
      </c>
      <c r="F33" s="18">
        <f>IFERROR(E28/E29,0)</f>
        <v/>
      </c>
      <c r="G33" s="18">
        <f>IFERROR(F28/F29,0)</f>
        <v/>
      </c>
      <c r="H33" s="18">
        <f>IFERROR(G28/G29,0)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H25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Forecast Income Statement</t>
        </is>
      </c>
    </row>
    <row r="4">
      <c r="B4" s="13" t="inlineStr">
        <is>
          <t>₹ in Crores</t>
        </is>
      </c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16" t="inlineStr">
        <is>
          <t>Revenue</t>
        </is>
      </c>
      <c r="D6" s="19">
        <f>C6*(1+Revenue_Growth_Rate)</f>
        <v/>
      </c>
      <c r="E6" s="19">
        <f>D6*(1+Revenue_Growth_Rate)</f>
        <v/>
      </c>
      <c r="F6" s="19">
        <f>E6*(1+Revenue_Growth_Rate)</f>
        <v/>
      </c>
      <c r="G6" s="19">
        <f>F6*(1+Revenue_Growth_Rate)</f>
        <v/>
      </c>
      <c r="H6" s="19">
        <f>G6*(1+Revenue_Growth_Rate)</f>
        <v/>
      </c>
    </row>
    <row r="8">
      <c r="B8" s="5" t="inlineStr">
        <is>
          <t>Cost of Goods Sold</t>
        </is>
      </c>
      <c r="D8" s="17">
        <f>-C6*(1-Gross_Margin)</f>
        <v/>
      </c>
      <c r="E8" s="17">
        <f>-D6*(1-Gross_Margin)</f>
        <v/>
      </c>
      <c r="F8" s="17">
        <f>-E6*(1-Gross_Margin)</f>
        <v/>
      </c>
      <c r="G8" s="17">
        <f>-F6*(1-Gross_Margin)</f>
        <v/>
      </c>
      <c r="H8" s="17">
        <f>-G6*(1-Gross_Margin)</f>
        <v/>
      </c>
    </row>
    <row r="9">
      <c r="B9" s="16" t="inlineStr">
        <is>
          <t>Gross Profit</t>
        </is>
      </c>
      <c r="D9" s="17">
        <f>C6+C8</f>
        <v/>
      </c>
      <c r="E9" s="17">
        <f>D6+D8</f>
        <v/>
      </c>
      <c r="F9" s="17">
        <f>E6+E8</f>
        <v/>
      </c>
      <c r="G9" s="17">
        <f>F6+F8</f>
        <v/>
      </c>
      <c r="H9" s="17">
        <f>G6+G8</f>
        <v/>
      </c>
    </row>
    <row r="11">
      <c r="B11" s="5" t="inlineStr">
        <is>
          <t>Operating Expenses</t>
        </is>
      </c>
      <c r="D11" s="17">
        <f>-C6*0.15</f>
        <v/>
      </c>
      <c r="E11" s="17">
        <f>-D6*0.15</f>
        <v/>
      </c>
      <c r="F11" s="17">
        <f>-E6*0.15</f>
        <v/>
      </c>
      <c r="G11" s="17">
        <f>-F6*0.15</f>
        <v/>
      </c>
      <c r="H11" s="17">
        <f>-G6*0.15</f>
        <v/>
      </c>
    </row>
    <row r="12">
      <c r="B12" s="16" t="inlineStr">
        <is>
          <t>EBITDA</t>
        </is>
      </c>
      <c r="D12" s="17">
        <f>C9+C11</f>
        <v/>
      </c>
      <c r="E12" s="17">
        <f>D9+D11</f>
        <v/>
      </c>
      <c r="F12" s="17">
        <f>E9+E11</f>
        <v/>
      </c>
      <c r="G12" s="17">
        <f>F9+F11</f>
        <v/>
      </c>
      <c r="H12" s="17">
        <f>G9+G11</f>
        <v/>
      </c>
    </row>
    <row r="13">
      <c r="B13" s="5" t="inlineStr">
        <is>
          <t>EBITDA Margin</t>
        </is>
      </c>
      <c r="D13" s="9">
        <f>IFERROR(C12/C6,0)</f>
        <v/>
      </c>
      <c r="E13" s="9">
        <f>IFERROR(D12/D6,0)</f>
        <v/>
      </c>
      <c r="F13" s="9">
        <f>IFERROR(E12/E6,0)</f>
        <v/>
      </c>
      <c r="G13" s="9">
        <f>IFERROR(F12/F6,0)</f>
        <v/>
      </c>
      <c r="H13" s="9">
        <f>IFERROR(G12/G6,0)</f>
        <v/>
      </c>
    </row>
    <row r="15">
      <c r="B15" s="5" t="inlineStr">
        <is>
          <t>Depreciation &amp; Amortization</t>
        </is>
      </c>
      <c r="D15" s="17">
        <f>-Forecast_BS!C15*0.05</f>
        <v/>
      </c>
      <c r="E15" s="17">
        <f>-Forecast_BS!D15*0.05</f>
        <v/>
      </c>
      <c r="F15" s="17">
        <f>-Forecast_BS!E15*0.05</f>
        <v/>
      </c>
      <c r="G15" s="17">
        <f>-Forecast_BS!F15*0.05</f>
        <v/>
      </c>
      <c r="H15" s="17">
        <f>-Forecast_BS!G15*0.05</f>
        <v/>
      </c>
    </row>
    <row r="16">
      <c r="B16" s="16" t="inlineStr">
        <is>
          <t>EBIT</t>
        </is>
      </c>
      <c r="D16" s="17">
        <f>C12+C15</f>
        <v/>
      </c>
      <c r="E16" s="17">
        <f>D12+D15</f>
        <v/>
      </c>
      <c r="F16" s="17">
        <f>E12+E15</f>
        <v/>
      </c>
      <c r="G16" s="17">
        <f>F12+F15</f>
        <v/>
      </c>
      <c r="H16" s="17">
        <f>G12+G15</f>
        <v/>
      </c>
    </row>
    <row r="17">
      <c r="B17" s="5" t="inlineStr">
        <is>
          <t>EBIT Margin</t>
        </is>
      </c>
      <c r="D17" s="9">
        <f>IFERROR(C16/C6,0)</f>
        <v/>
      </c>
      <c r="E17" s="9">
        <f>IFERROR(D16/D6,0)</f>
        <v/>
      </c>
      <c r="F17" s="9">
        <f>IFERROR(E16/E6,0)</f>
        <v/>
      </c>
      <c r="G17" s="9">
        <f>IFERROR(F16/F6,0)</f>
        <v/>
      </c>
      <c r="H17" s="9">
        <f>IFERROR(G16/G6,0)</f>
        <v/>
      </c>
    </row>
    <row r="19">
      <c r="B19" s="5" t="inlineStr">
        <is>
          <t>Interest Expense</t>
        </is>
      </c>
      <c r="D19" s="17">
        <f>-Debt_Schedule!C15*Cost_of_Debt</f>
        <v/>
      </c>
      <c r="E19" s="17">
        <f>-Debt_Schedule!D15*Dost_of_Debt</f>
        <v/>
      </c>
      <c r="F19" s="17">
        <f>-Debt_Schedule!E15*Eost_of_Debt</f>
        <v/>
      </c>
      <c r="G19" s="17">
        <f>-Debt_Schedule!F15*Fost_of_Debt</f>
        <v/>
      </c>
      <c r="H19" s="17">
        <f>-Debt_Schedule!G15*Gost_of_Debt</f>
        <v/>
      </c>
    </row>
    <row r="20">
      <c r="B20" s="5" t="inlineStr">
        <is>
          <t>Interest Income</t>
        </is>
      </c>
      <c r="D20" s="17">
        <f>Forecast_BS!C6*0.04</f>
        <v/>
      </c>
      <c r="E20" s="17">
        <f>Forecast_BS!D6*0.04</f>
        <v/>
      </c>
      <c r="F20" s="17">
        <f>Forecast_BS!E6*0.04</f>
        <v/>
      </c>
      <c r="G20" s="17">
        <f>Forecast_BS!F6*0.04</f>
        <v/>
      </c>
      <c r="H20" s="17">
        <f>Forecast_BS!G6*0.04</f>
        <v/>
      </c>
    </row>
    <row r="21">
      <c r="B21" s="16" t="inlineStr">
        <is>
          <t>Pre-tax Income</t>
        </is>
      </c>
      <c r="D21" s="17">
        <f>C16+C19+C20</f>
        <v/>
      </c>
      <c r="E21" s="17">
        <f>D16+D19+D20</f>
        <v/>
      </c>
      <c r="F21" s="17">
        <f>E16+E19+E20</f>
        <v/>
      </c>
      <c r="G21" s="17">
        <f>F16+F19+F20</f>
        <v/>
      </c>
      <c r="H21" s="17">
        <f>G16+G19+G20</f>
        <v/>
      </c>
    </row>
    <row r="23">
      <c r="B23" s="5" t="inlineStr">
        <is>
          <t>Tax Expense</t>
        </is>
      </c>
      <c r="D23" s="17">
        <f>-MAX(C21,0)*Tax_Rate</f>
        <v/>
      </c>
      <c r="E23" s="17">
        <f>-MAX(D21,0)*Tax_Rate</f>
        <v/>
      </c>
      <c r="F23" s="17">
        <f>-MAX(E21,0)*Tax_Rate</f>
        <v/>
      </c>
      <c r="G23" s="17">
        <f>-MAX(F21,0)*Tax_Rate</f>
        <v/>
      </c>
      <c r="H23" s="17">
        <f>-MAX(G21,0)*Tax_Rate</f>
        <v/>
      </c>
    </row>
    <row r="24">
      <c r="B24" s="16" t="inlineStr">
        <is>
          <t>Net Income</t>
        </is>
      </c>
      <c r="D24" s="19">
        <f>C21+C23</f>
        <v/>
      </c>
      <c r="E24" s="19">
        <f>D21+D23</f>
        <v/>
      </c>
      <c r="F24" s="19">
        <f>E21+E23</f>
        <v/>
      </c>
      <c r="G24" s="19">
        <f>F21+F23</f>
        <v/>
      </c>
      <c r="H24" s="19">
        <f>G21+G23</f>
        <v/>
      </c>
    </row>
    <row r="25">
      <c r="B25" s="5" t="inlineStr">
        <is>
          <t>Net Margin</t>
        </is>
      </c>
      <c r="D25" s="9">
        <f>IFERROR(C24/C6,0)</f>
        <v/>
      </c>
      <c r="E25" s="9">
        <f>IFERROR(D24/D6,0)</f>
        <v/>
      </c>
      <c r="F25" s="9">
        <f>IFERROR(E24/E6,0)</f>
        <v/>
      </c>
      <c r="G25" s="9">
        <f>IFERROR(F24/F6,0)</f>
        <v/>
      </c>
      <c r="H25" s="9">
        <f>IFERROR(G24/G6,0)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H3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Forecast Balance Sheet</t>
        </is>
      </c>
    </row>
    <row r="4">
      <c r="B4" t="inlineStr">
        <is>
          <t>₹ in Crores</t>
        </is>
      </c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ASSETS</t>
        </is>
      </c>
    </row>
    <row r="7">
      <c r="B7" s="5" t="inlineStr">
        <is>
          <t>Cash &amp; Equivalents</t>
        </is>
      </c>
      <c r="D7" s="17">
        <f>C6+Forecast_CF!C28</f>
        <v/>
      </c>
      <c r="E7" s="17">
        <f>D6+Forecast_DF!D28</f>
        <v/>
      </c>
      <c r="F7" s="17">
        <f>E6+Forecast_EF!E28</f>
        <v/>
      </c>
      <c r="G7" s="17">
        <f>F6+Forecast_FF!F28</f>
        <v/>
      </c>
      <c r="H7" s="17">
        <f>G6+Forecast_GF!G28</f>
        <v/>
      </c>
    </row>
    <row r="8">
      <c r="B8" s="5" t="inlineStr">
        <is>
          <t>Trade Receivables</t>
        </is>
      </c>
      <c r="D8" s="17">
        <f>Forecast_IS!C6*Receivable_Days/365</f>
        <v/>
      </c>
      <c r="E8" s="17">
        <f>Forecast_IS!D6*Receivable_Days/365</f>
        <v/>
      </c>
      <c r="F8" s="17">
        <f>Forecast_IS!E6*Receivable_Days/365</f>
        <v/>
      </c>
      <c r="G8" s="17">
        <f>Forecast_IS!F6*Receivable_Days/365</f>
        <v/>
      </c>
      <c r="H8" s="17">
        <f>Forecast_IS!G6*Receivable_Days/365</f>
        <v/>
      </c>
    </row>
    <row r="9">
      <c r="B9" s="5" t="inlineStr">
        <is>
          <t>Inventory</t>
        </is>
      </c>
      <c r="D9" s="17">
        <f>-Forecast_IS!C8*Inventory_Days/365</f>
        <v/>
      </c>
      <c r="E9" s="17">
        <f>-Forecast_IS!D8*Inventory_Days/365</f>
        <v/>
      </c>
      <c r="F9" s="17">
        <f>-Forecast_IS!E8*Inventory_Days/365</f>
        <v/>
      </c>
      <c r="G9" s="17">
        <f>-Forecast_IS!F8*Inventory_Days/365</f>
        <v/>
      </c>
      <c r="H9" s="17">
        <f>-Forecast_IS!G8*Inventory_Days/365</f>
        <v/>
      </c>
    </row>
    <row r="10">
      <c r="B10" s="5" t="inlineStr">
        <is>
          <t>Other Current Assets</t>
        </is>
      </c>
      <c r="D10" s="17">
        <f>C10*1.02</f>
        <v/>
      </c>
      <c r="E10" s="17">
        <f>D10*1.02</f>
        <v/>
      </c>
      <c r="F10" s="17">
        <f>E10*1.02</f>
        <v/>
      </c>
      <c r="G10" s="17">
        <f>F10*1.02</f>
        <v/>
      </c>
      <c r="H10" s="17">
        <f>G10*1.02</f>
        <v/>
      </c>
    </row>
    <row r="11">
      <c r="B11" s="16" t="inlineStr">
        <is>
          <t>Total Current Assets</t>
        </is>
      </c>
      <c r="D11" s="17">
        <f>SUM(C7:C10)</f>
        <v/>
      </c>
      <c r="E11" s="17">
        <f>SUM(D7:D10)</f>
        <v/>
      </c>
      <c r="F11" s="17">
        <f>SUM(E7:E10)</f>
        <v/>
      </c>
      <c r="G11" s="17">
        <f>SUM(F7:F10)</f>
        <v/>
      </c>
      <c r="H11" s="17">
        <f>SUM(G7:G10)</f>
        <v/>
      </c>
    </row>
    <row r="13">
      <c r="B13" s="5" t="inlineStr">
        <is>
          <t>Gross PP&amp;E</t>
        </is>
      </c>
      <c r="D13" s="17">
        <f>C13-Forecast_IS!C15+Forecast_CF!C18</f>
        <v/>
      </c>
      <c r="E13" s="17">
        <f>D13-Forecast_IS!D15+Forecast_DF!D18</f>
        <v/>
      </c>
      <c r="F13" s="17">
        <f>E13-Forecast_IS!E15+Forecast_EF!E18</f>
        <v/>
      </c>
      <c r="G13" s="17">
        <f>F13-Forecast_IS!F15+Forecast_FF!F18</f>
        <v/>
      </c>
      <c r="H13" s="17">
        <f>G13-Forecast_IS!G15+Forecast_GF!G18</f>
        <v/>
      </c>
    </row>
    <row r="14">
      <c r="B14" s="5" t="inlineStr">
        <is>
          <t>Accumulated Depreciation</t>
        </is>
      </c>
      <c r="D14" s="17">
        <f>C14+Forecast_IS!C15</f>
        <v/>
      </c>
      <c r="E14" s="17">
        <f>D14+Forecast_IS!D15</f>
        <v/>
      </c>
      <c r="F14" s="17">
        <f>E14+Forecast_IS!E15</f>
        <v/>
      </c>
      <c r="G14" s="17">
        <f>F14+Forecast_IS!F15</f>
        <v/>
      </c>
      <c r="H14" s="17">
        <f>G14+Forecast_IS!G15</f>
        <v/>
      </c>
    </row>
    <row r="15">
      <c r="B15" s="5" t="inlineStr">
        <is>
          <t>Net PP&amp;E</t>
        </is>
      </c>
      <c r="D15" s="17">
        <f>C13+C14</f>
        <v/>
      </c>
      <c r="E15" s="17">
        <f>D13+D14</f>
        <v/>
      </c>
      <c r="F15" s="17">
        <f>E13+E14</f>
        <v/>
      </c>
      <c r="G15" s="17">
        <f>F13+F14</f>
        <v/>
      </c>
      <c r="H15" s="17">
        <f>G13+G14</f>
        <v/>
      </c>
    </row>
    <row r="16">
      <c r="B16" s="5" t="inlineStr">
        <is>
          <t>Other Non-current Assets</t>
        </is>
      </c>
      <c r="D16" s="17">
        <f>C16*1.01</f>
        <v/>
      </c>
      <c r="E16" s="17">
        <f>D16*1.01</f>
        <v/>
      </c>
      <c r="F16" s="17">
        <f>E16*1.01</f>
        <v/>
      </c>
      <c r="G16" s="17">
        <f>F16*1.01</f>
        <v/>
      </c>
      <c r="H16" s="17">
        <f>G16*1.01</f>
        <v/>
      </c>
    </row>
    <row r="17">
      <c r="B17" s="16" t="inlineStr">
        <is>
          <t>Total Assets</t>
        </is>
      </c>
      <c r="D17" s="17">
        <f>C11+C15+C16</f>
        <v/>
      </c>
      <c r="E17" s="17">
        <f>D11+D15+D16</f>
        <v/>
      </c>
      <c r="F17" s="17">
        <f>E11+E15+E16</f>
        <v/>
      </c>
      <c r="G17" s="17">
        <f>F11+F15+F16</f>
        <v/>
      </c>
      <c r="H17" s="17">
        <f>G11+G15+G16</f>
        <v/>
      </c>
    </row>
    <row r="19">
      <c r="B19" s="4" t="inlineStr">
        <is>
          <t>LIABILITIES &amp; EQUITY</t>
        </is>
      </c>
    </row>
    <row r="20">
      <c r="B20" s="5" t="inlineStr">
        <is>
          <t>Trade Payables</t>
        </is>
      </c>
      <c r="D20" s="17">
        <f>-Forecast_IS!C8*Payable_Days/365</f>
        <v/>
      </c>
      <c r="E20" s="17">
        <f>-Forecast_IS!D8*Payable_Days/365</f>
        <v/>
      </c>
      <c r="F20" s="17">
        <f>-Forecast_IS!E8*Payable_Days/365</f>
        <v/>
      </c>
      <c r="G20" s="17">
        <f>-Forecast_IS!F8*Payable_Days/365</f>
        <v/>
      </c>
      <c r="H20" s="17">
        <f>-Forecast_IS!G8*Payable_Days/365</f>
        <v/>
      </c>
    </row>
    <row r="21">
      <c r="B21" s="5" t="inlineStr">
        <is>
          <t>Accrued Expenses</t>
        </is>
      </c>
      <c r="D21" s="17">
        <f>C20*1.02</f>
        <v/>
      </c>
      <c r="E21" s="17">
        <f>D20*1.02</f>
        <v/>
      </c>
      <c r="F21" s="17">
        <f>E20*1.02</f>
        <v/>
      </c>
      <c r="G21" s="17">
        <f>F20*1.02</f>
        <v/>
      </c>
      <c r="H21" s="17">
        <f>G20*1.02</f>
        <v/>
      </c>
    </row>
    <row r="22">
      <c r="B22" s="5" t="inlineStr">
        <is>
          <t>Short-term Debt</t>
        </is>
      </c>
      <c r="D22" s="17">
        <f>Debt_Schedule!C8</f>
        <v/>
      </c>
      <c r="E22" s="17">
        <f>Debt_Schedule!D8</f>
        <v/>
      </c>
      <c r="F22" s="17">
        <f>Debt_Schedule!E8</f>
        <v/>
      </c>
      <c r="G22" s="17">
        <f>Debt_Schedule!F8</f>
        <v/>
      </c>
      <c r="H22" s="17">
        <f>Debt_Schedule!G8</f>
        <v/>
      </c>
    </row>
    <row r="23">
      <c r="B23" s="16" t="inlineStr">
        <is>
          <t>Total Current Liabilities</t>
        </is>
      </c>
      <c r="D23" s="17">
        <f>SUM(C19:C21)</f>
        <v/>
      </c>
      <c r="E23" s="17">
        <f>SUM(D19:D21)</f>
        <v/>
      </c>
      <c r="F23" s="17">
        <f>SUM(E19:E21)</f>
        <v/>
      </c>
      <c r="G23" s="17">
        <f>SUM(F19:F21)</f>
        <v/>
      </c>
      <c r="H23" s="17">
        <f>SUM(G19:G21)</f>
        <v/>
      </c>
    </row>
    <row r="25">
      <c r="B25" s="5" t="inlineStr">
        <is>
          <t>Long-term Debt</t>
        </is>
      </c>
      <c r="D25" s="17">
        <f>Debt_Schedule!C12</f>
        <v/>
      </c>
      <c r="E25" s="17">
        <f>Debt_Schedule!D12</f>
        <v/>
      </c>
      <c r="F25" s="17">
        <f>Debt_Schedule!E12</f>
        <v/>
      </c>
      <c r="G25" s="17">
        <f>Debt_Schedule!F12</f>
        <v/>
      </c>
      <c r="H25" s="17">
        <f>Debt_Schedule!G12</f>
        <v/>
      </c>
    </row>
    <row r="26">
      <c r="B26" s="5" t="inlineStr">
        <is>
          <t>Other Non-current Liabilities</t>
        </is>
      </c>
      <c r="D26" s="17">
        <f>C24*1.01</f>
        <v/>
      </c>
      <c r="E26" s="17">
        <f>D24*1.01</f>
        <v/>
      </c>
      <c r="F26" s="17">
        <f>E24*1.01</f>
        <v/>
      </c>
      <c r="G26" s="17">
        <f>F24*1.01</f>
        <v/>
      </c>
      <c r="H26" s="17">
        <f>G24*1.01</f>
        <v/>
      </c>
    </row>
    <row r="27">
      <c r="B27" s="16" t="inlineStr">
        <is>
          <t>Total Liabilities</t>
        </is>
      </c>
      <c r="D27" s="17">
        <f>C22+C23+C24</f>
        <v/>
      </c>
      <c r="E27" s="17">
        <f>D22+D23+D24</f>
        <v/>
      </c>
      <c r="F27" s="17">
        <f>E22+E23+E24</f>
        <v/>
      </c>
      <c r="G27" s="17">
        <f>F22+F23+F24</f>
        <v/>
      </c>
      <c r="H27" s="17">
        <f>G22+G23+G24</f>
        <v/>
      </c>
    </row>
    <row r="29">
      <c r="B29" s="5" t="inlineStr">
        <is>
          <t>Share Capital</t>
        </is>
      </c>
      <c r="D29" s="17">
        <f>C27</f>
        <v/>
      </c>
      <c r="E29" s="17">
        <f>D27</f>
        <v/>
      </c>
      <c r="F29" s="17">
        <f>E27</f>
        <v/>
      </c>
      <c r="G29" s="17">
        <f>F27</f>
        <v/>
      </c>
      <c r="H29" s="17">
        <f>G27</f>
        <v/>
      </c>
    </row>
    <row r="30">
      <c r="B30" s="5" t="inlineStr">
        <is>
          <t>Retained Earnings</t>
        </is>
      </c>
      <c r="D30" s="17">
        <f>C28+Forecast_IS!C24-Forecast_CF!C22</f>
        <v/>
      </c>
      <c r="E30" s="17">
        <f>D28+Forecast_IS!D24-Forecast_DF!D22</f>
        <v/>
      </c>
      <c r="F30" s="17">
        <f>E28+Forecast_IS!E24-Forecast_EF!E22</f>
        <v/>
      </c>
      <c r="G30" s="17">
        <f>F28+Forecast_IS!F24-Forecast_FF!F22</f>
        <v/>
      </c>
      <c r="H30" s="17">
        <f>G28+Forecast_IS!G24-Forecast_GF!G22</f>
        <v/>
      </c>
    </row>
    <row r="31">
      <c r="B31" s="16" t="inlineStr">
        <is>
          <t>Total Equity</t>
        </is>
      </c>
      <c r="D31" s="17">
        <f>C27+C28</f>
        <v/>
      </c>
      <c r="E31" s="17">
        <f>D27+D28</f>
        <v/>
      </c>
      <c r="F31" s="17">
        <f>E27+E28</f>
        <v/>
      </c>
      <c r="G31" s="17">
        <f>F27+F28</f>
        <v/>
      </c>
      <c r="H31" s="17">
        <f>G27+G28</f>
        <v/>
      </c>
    </row>
    <row r="33">
      <c r="B33" s="16" t="inlineStr">
        <is>
          <t>Total Liabilities &amp; Equity</t>
        </is>
      </c>
      <c r="D33" s="17">
        <f>C25+C29</f>
        <v/>
      </c>
      <c r="E33" s="17">
        <f>D25+D29</f>
        <v/>
      </c>
      <c r="F33" s="17">
        <f>E25+E29</f>
        <v/>
      </c>
      <c r="G33" s="17">
        <f>F25+F29</f>
        <v/>
      </c>
      <c r="H33" s="17">
        <f>G25+G29</f>
        <v/>
      </c>
    </row>
    <row r="34">
      <c r="B34" s="16" t="inlineStr">
        <is>
          <t>Balance Check</t>
        </is>
      </c>
      <c r="D34" s="19">
        <f>ROUND(C17-C30,0)</f>
        <v/>
      </c>
      <c r="E34" s="19">
        <f>ROUND(D17-D30,0)</f>
        <v/>
      </c>
      <c r="F34" s="19">
        <f>ROUND(E17-E30,0)</f>
        <v/>
      </c>
      <c r="G34" s="19">
        <f>ROUND(F17-F30,0)</f>
        <v/>
      </c>
      <c r="H34" s="19">
        <f>ROUND(G17-G30,0)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H27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Forecast Cash Flow Statement</t>
        </is>
      </c>
    </row>
    <row r="4">
      <c r="B4" t="inlineStr">
        <is>
          <t>₹ in Crores</t>
        </is>
      </c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OPERATING ACTIVITIES</t>
        </is>
      </c>
    </row>
    <row r="7">
      <c r="B7" s="5" t="inlineStr">
        <is>
          <t>Net Income</t>
        </is>
      </c>
      <c r="D7" s="17">
        <f>Forecast_IS!C24</f>
        <v/>
      </c>
      <c r="E7" s="17">
        <f>Forecast_IS!D24</f>
        <v/>
      </c>
      <c r="F7" s="17">
        <f>Forecast_IS!E24</f>
        <v/>
      </c>
      <c r="G7" s="17">
        <f>Forecast_IS!F24</f>
        <v/>
      </c>
      <c r="H7" s="17">
        <f>Forecast_IS!G24</f>
        <v/>
      </c>
    </row>
    <row r="8">
      <c r="B8" s="5" t="inlineStr">
        <is>
          <t>Depreciation &amp; Amortization</t>
        </is>
      </c>
      <c r="D8" s="17">
        <f>-Forecast_IS!C15</f>
        <v/>
      </c>
      <c r="E8" s="17">
        <f>-Forecast_IS!D15</f>
        <v/>
      </c>
      <c r="F8" s="17">
        <f>-Forecast_IS!E15</f>
        <v/>
      </c>
      <c r="G8" s="17">
        <f>-Forecast_IS!F15</f>
        <v/>
      </c>
      <c r="H8" s="17">
        <f>-Forecast_IS!G15</f>
        <v/>
      </c>
    </row>
    <row r="9">
      <c r="B9" s="5" t="inlineStr">
        <is>
          <t>Change in Working Capital</t>
        </is>
      </c>
      <c r="D9" s="17">
        <f>Working_Capital!C18</f>
        <v/>
      </c>
      <c r="E9" s="17">
        <f>Working_Dapital!D18</f>
        <v/>
      </c>
      <c r="F9" s="17">
        <f>Working_Eapital!E18</f>
        <v/>
      </c>
      <c r="G9" s="17">
        <f>Working_Fapital!F18</f>
        <v/>
      </c>
      <c r="H9" s="17">
        <f>Working_Gapital!G18</f>
        <v/>
      </c>
    </row>
    <row r="10">
      <c r="B10" s="5" t="inlineStr">
        <is>
          <t>Other Operating Items</t>
        </is>
      </c>
      <c r="D10" s="17">
        <f>0</f>
        <v/>
      </c>
      <c r="E10" s="17">
        <f>0</f>
        <v/>
      </c>
      <c r="F10" s="17">
        <f>0</f>
        <v/>
      </c>
      <c r="G10" s="17">
        <f>0</f>
        <v/>
      </c>
      <c r="H10" s="17">
        <f>0</f>
        <v/>
      </c>
    </row>
    <row r="11">
      <c r="B11" s="16" t="inlineStr">
        <is>
          <t>Operating Cash Flow</t>
        </is>
      </c>
      <c r="D11" s="17">
        <f>SUM(C7:C10)</f>
        <v/>
      </c>
      <c r="E11" s="17">
        <f>SUM(D7:D10)</f>
        <v/>
      </c>
      <c r="F11" s="17">
        <f>SUM(E7:E10)</f>
        <v/>
      </c>
      <c r="G11" s="17">
        <f>SUM(F7:F10)</f>
        <v/>
      </c>
      <c r="H11" s="17">
        <f>SUM(G7:G10)</f>
        <v/>
      </c>
    </row>
    <row r="13">
      <c r="B13" s="4" t="inlineStr">
        <is>
          <t>INVESTING ACTIVITIES</t>
        </is>
      </c>
    </row>
    <row r="14">
      <c r="B14" s="5" t="inlineStr">
        <is>
          <t>Capital Expenditure</t>
        </is>
      </c>
      <c r="D14" s="17">
        <f>-Forecast_IS!C6*Capex_pct_of_Revenue</f>
        <v/>
      </c>
      <c r="E14" s="17">
        <f>-Forecast_IS!D6*Dapex_pct_of_Revenue</f>
        <v/>
      </c>
      <c r="F14" s="17">
        <f>-Forecast_IS!E6*Eapex_pct_of_Revenue</f>
        <v/>
      </c>
      <c r="G14" s="17">
        <f>-Forecast_IS!F6*Fapex_pct_of_Revenue</f>
        <v/>
      </c>
      <c r="H14" s="17">
        <f>-Forecast_IS!G6*Gapex_pct_of_Revenue</f>
        <v/>
      </c>
    </row>
    <row r="15">
      <c r="B15" s="5" t="inlineStr">
        <is>
          <t>Acquisitions</t>
        </is>
      </c>
      <c r="D15" s="17">
        <f>0</f>
        <v/>
      </c>
      <c r="E15" s="17">
        <f>0</f>
        <v/>
      </c>
      <c r="F15" s="17">
        <f>0</f>
        <v/>
      </c>
      <c r="G15" s="17">
        <f>0</f>
        <v/>
      </c>
      <c r="H15" s="17">
        <f>0</f>
        <v/>
      </c>
    </row>
    <row r="16">
      <c r="B16" s="5" t="inlineStr">
        <is>
          <t>Other Investing</t>
        </is>
      </c>
      <c r="D16" s="17">
        <f>0</f>
        <v/>
      </c>
      <c r="E16" s="17">
        <f>0</f>
        <v/>
      </c>
      <c r="F16" s="17">
        <f>0</f>
        <v/>
      </c>
      <c r="G16" s="17">
        <f>0</f>
        <v/>
      </c>
      <c r="H16" s="17">
        <f>0</f>
        <v/>
      </c>
    </row>
    <row r="17">
      <c r="B17" s="16" t="inlineStr">
        <is>
          <t>Investing Cash Flow</t>
        </is>
      </c>
      <c r="D17" s="17">
        <f>SUM(C14:C16)</f>
        <v/>
      </c>
      <c r="E17" s="17">
        <f>SUM(D14:D16)</f>
        <v/>
      </c>
      <c r="F17" s="17">
        <f>SUM(E14:E16)</f>
        <v/>
      </c>
      <c r="G17" s="17">
        <f>SUM(F14:F16)</f>
        <v/>
      </c>
      <c r="H17" s="17">
        <f>SUM(G14:G16)</f>
        <v/>
      </c>
    </row>
    <row r="19">
      <c r="B19" s="4" t="inlineStr">
        <is>
          <t>FINANCING ACTIVITIES</t>
        </is>
      </c>
    </row>
    <row r="20">
      <c r="B20" s="5" t="inlineStr">
        <is>
          <t>Debt Raised/(Repaid)</t>
        </is>
      </c>
      <c r="D20" s="17">
        <f>Debt_Schedule!C16</f>
        <v/>
      </c>
      <c r="E20" s="17">
        <f>Debt_Schedule!D16</f>
        <v/>
      </c>
      <c r="F20" s="17">
        <f>Debt_Schedule!E16</f>
        <v/>
      </c>
      <c r="G20" s="17">
        <f>Debt_Schedule!F16</f>
        <v/>
      </c>
      <c r="H20" s="17">
        <f>Debt_Schedule!G16</f>
        <v/>
      </c>
    </row>
    <row r="21">
      <c r="B21" s="5" t="inlineStr">
        <is>
          <t>Dividends Paid</t>
        </is>
      </c>
      <c r="D21" s="17">
        <f>-Forecast_IS!C24*0.2</f>
        <v/>
      </c>
      <c r="E21" s="17">
        <f>-Forecast_IS!D24*0.2</f>
        <v/>
      </c>
      <c r="F21" s="17">
        <f>-Forecast_IS!E24*0.2</f>
        <v/>
      </c>
      <c r="G21" s="17">
        <f>-Forecast_IS!F24*0.2</f>
        <v/>
      </c>
      <c r="H21" s="17">
        <f>-Forecast_IS!G24*0.2</f>
        <v/>
      </c>
    </row>
    <row r="22">
      <c r="B22" s="5" t="inlineStr">
        <is>
          <t>Equity Issuance</t>
        </is>
      </c>
      <c r="D22" s="17">
        <f>0</f>
        <v/>
      </c>
      <c r="E22" s="17">
        <f>0</f>
        <v/>
      </c>
      <c r="F22" s="17">
        <f>0</f>
        <v/>
      </c>
      <c r="G22" s="17">
        <f>0</f>
        <v/>
      </c>
      <c r="H22" s="17">
        <f>0</f>
        <v/>
      </c>
    </row>
    <row r="23">
      <c r="B23" s="16" t="inlineStr">
        <is>
          <t>Financing Cash Flow</t>
        </is>
      </c>
      <c r="D23" s="17">
        <f>SUM(C20:C22)</f>
        <v/>
      </c>
      <c r="E23" s="17">
        <f>SUM(D20:D22)</f>
        <v/>
      </c>
      <c r="F23" s="17">
        <f>SUM(E20:E22)</f>
        <v/>
      </c>
      <c r="G23" s="17">
        <f>SUM(F20:F22)</f>
        <v/>
      </c>
      <c r="H23" s="17">
        <f>SUM(G20:G22)</f>
        <v/>
      </c>
    </row>
    <row r="25">
      <c r="B25" s="16" t="inlineStr">
        <is>
          <t>NET CASH FLOW</t>
        </is>
      </c>
      <c r="D25" s="17">
        <f>C11+C17+C23</f>
        <v/>
      </c>
      <c r="E25" s="17">
        <f>D11+D17+D23</f>
        <v/>
      </c>
      <c r="F25" s="17">
        <f>E11+E17+E23</f>
        <v/>
      </c>
      <c r="G25" s="17">
        <f>F11+F17+F23</f>
        <v/>
      </c>
      <c r="H25" s="17">
        <f>G11+G17+G23</f>
        <v/>
      </c>
    </row>
    <row r="26">
      <c r="B26" s="5" t="inlineStr">
        <is>
          <t>Opening Cash</t>
        </is>
      </c>
      <c r="D26" s="17">
        <f>C6</f>
        <v/>
      </c>
      <c r="E26" s="17">
        <f>D6</f>
        <v/>
      </c>
      <c r="F26" s="17">
        <f>E6</f>
        <v/>
      </c>
      <c r="G26" s="17">
        <f>F6</f>
        <v/>
      </c>
      <c r="H26" s="17">
        <f>G6</f>
        <v/>
      </c>
    </row>
    <row r="27">
      <c r="B27" s="16" t="inlineStr">
        <is>
          <t>Closing Cash</t>
        </is>
      </c>
      <c r="D27" s="17">
        <f>C25+C26</f>
        <v/>
      </c>
      <c r="E27" s="17">
        <f>D25+D26</f>
        <v/>
      </c>
      <c r="F27" s="17">
        <f>E25+E26</f>
        <v/>
      </c>
      <c r="G27" s="17">
        <f>F25+F26</f>
        <v/>
      </c>
      <c r="H27" s="17">
        <f>G25+G26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14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Working Capital Schedule</t>
        </is>
      </c>
    </row>
    <row r="4"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5" t="inlineStr">
        <is>
          <t>Trade Receivables</t>
        </is>
      </c>
      <c r="D6" s="17">
        <f>Forecast_BS!C8</f>
        <v/>
      </c>
      <c r="E6" s="17">
        <f>Forecast_CS!D8</f>
        <v/>
      </c>
      <c r="F6" s="17">
        <f>Forecast_DS!E8</f>
        <v/>
      </c>
      <c r="G6" s="17">
        <f>Forecast_ES!F8</f>
        <v/>
      </c>
      <c r="H6" s="17">
        <f>Forecast_FS!G8</f>
        <v/>
      </c>
    </row>
    <row r="7">
      <c r="B7" s="5" t="inlineStr">
        <is>
          <t>Inventory</t>
        </is>
      </c>
      <c r="D7" s="17">
        <f>Forecast_BS!C9</f>
        <v/>
      </c>
      <c r="E7" s="17">
        <f>Forecast_CS!D9</f>
        <v/>
      </c>
      <c r="F7" s="17">
        <f>Forecast_DS!E9</f>
        <v/>
      </c>
      <c r="G7" s="17">
        <f>Forecast_ES!F9</f>
        <v/>
      </c>
      <c r="H7" s="17">
        <f>Forecast_FS!G9</f>
        <v/>
      </c>
    </row>
    <row r="8">
      <c r="B8" s="5" t="inlineStr">
        <is>
          <t>Trade Payables</t>
        </is>
      </c>
      <c r="D8" s="17">
        <f>Forecast_BS!C19</f>
        <v/>
      </c>
      <c r="E8" s="17">
        <f>Forecast_CS!D19</f>
        <v/>
      </c>
      <c r="F8" s="17">
        <f>Forecast_DS!E19</f>
        <v/>
      </c>
      <c r="G8" s="17">
        <f>Forecast_ES!F19</f>
        <v/>
      </c>
      <c r="H8" s="17">
        <f>Forecast_FS!G19</f>
        <v/>
      </c>
    </row>
    <row r="9">
      <c r="B9" s="16" t="inlineStr">
        <is>
          <t>Net Working Capital</t>
        </is>
      </c>
      <c r="D9" s="17">
        <f>C6+C7+C8</f>
        <v/>
      </c>
      <c r="E9" s="17">
        <f>D6+D7+D8</f>
        <v/>
      </c>
      <c r="F9" s="17">
        <f>E6+E7+E8</f>
        <v/>
      </c>
      <c r="G9" s="17">
        <f>F6+F7+F8</f>
        <v/>
      </c>
      <c r="H9" s="17">
        <f>G6+G7+G8</f>
        <v/>
      </c>
    </row>
    <row r="11">
      <c r="B11" s="5" t="inlineStr">
        <is>
          <t>Change in Receivables</t>
        </is>
      </c>
      <c r="D11" s="17">
        <f>C6-B6</f>
        <v/>
      </c>
      <c r="E11" s="17">
        <f>D6-C6</f>
        <v/>
      </c>
      <c r="F11" s="17">
        <f>E6-D6</f>
        <v/>
      </c>
      <c r="G11" s="17">
        <f>F6-E6</f>
        <v/>
      </c>
      <c r="H11" s="17">
        <f>G6-F6</f>
        <v/>
      </c>
    </row>
    <row r="12">
      <c r="B12" s="5" t="inlineStr">
        <is>
          <t>Change in Inventory</t>
        </is>
      </c>
      <c r="D12" s="17">
        <f>C7-B7</f>
        <v/>
      </c>
      <c r="E12" s="17">
        <f>D7-C7</f>
        <v/>
      </c>
      <c r="F12" s="17">
        <f>E7-D7</f>
        <v/>
      </c>
      <c r="G12" s="17">
        <f>F7-E7</f>
        <v/>
      </c>
      <c r="H12" s="17">
        <f>G7-F7</f>
        <v/>
      </c>
    </row>
    <row r="13">
      <c r="B13" s="5" t="inlineStr">
        <is>
          <t>Change in Payables</t>
        </is>
      </c>
      <c r="D13" s="17">
        <f>C8-B8</f>
        <v/>
      </c>
      <c r="E13" s="17">
        <f>D8-C8</f>
        <v/>
      </c>
      <c r="F13" s="17">
        <f>E8-D8</f>
        <v/>
      </c>
      <c r="G13" s="17">
        <f>F8-E8</f>
        <v/>
      </c>
      <c r="H13" s="17">
        <f>G8-F8</f>
        <v/>
      </c>
    </row>
    <row r="14">
      <c r="B14" s="16" t="inlineStr">
        <is>
          <t>Change in Working Capital</t>
        </is>
      </c>
      <c r="D14" s="17">
        <f>C11+C12+C13</f>
        <v/>
      </c>
      <c r="E14" s="17">
        <f>D11+D12+D13</f>
        <v/>
      </c>
      <c r="F14" s="17">
        <f>E11+E12+E13</f>
        <v/>
      </c>
      <c r="G14" s="17">
        <f>F11+F12+F13</f>
        <v/>
      </c>
      <c r="H14" s="17">
        <f>G11+G12+G13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H22"/>
  <sheetViews>
    <sheetView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2">
      <c r="B2" s="1" t="inlineStr">
        <is>
          <t>Debt Schedule</t>
        </is>
      </c>
    </row>
    <row r="4">
      <c r="C4" s="11" t="inlineStr">
        <is>
          <t>FY2025</t>
        </is>
      </c>
      <c r="D4" s="11" t="inlineStr">
        <is>
          <t>FY2026E</t>
        </is>
      </c>
      <c r="E4" s="11" t="inlineStr">
        <is>
          <t>FY2027E</t>
        </is>
      </c>
      <c r="F4" s="11" t="inlineStr">
        <is>
          <t>FY2028E</t>
        </is>
      </c>
      <c r="G4" s="11" t="inlineStr">
        <is>
          <t>FY2029E</t>
        </is>
      </c>
      <c r="H4" s="11" t="inlineStr">
        <is>
          <t>FY2030E</t>
        </is>
      </c>
    </row>
    <row r="6">
      <c r="B6" s="4" t="inlineStr">
        <is>
          <t>SHORT-TERM DEBT</t>
        </is>
      </c>
    </row>
    <row r="7">
      <c r="B7" s="5" t="inlineStr">
        <is>
          <t>Opening Balance</t>
        </is>
      </c>
      <c r="D7" s="17">
        <f>B8</f>
        <v/>
      </c>
      <c r="E7" s="17">
        <f>C8</f>
        <v/>
      </c>
      <c r="F7" s="17">
        <f>D8</f>
        <v/>
      </c>
      <c r="G7" s="17">
        <f>E8</f>
        <v/>
      </c>
      <c r="H7" s="17">
        <f>F8</f>
        <v/>
      </c>
    </row>
    <row r="8">
      <c r="B8" s="5" t="inlineStr">
        <is>
          <t>Drawdown/(Repayment)</t>
        </is>
      </c>
      <c r="D8" s="17">
        <f>0</f>
        <v/>
      </c>
      <c r="E8" s="17">
        <f>0</f>
        <v/>
      </c>
      <c r="F8" s="17">
        <f>0</f>
        <v/>
      </c>
      <c r="G8" s="17">
        <f>0</f>
        <v/>
      </c>
      <c r="H8" s="17">
        <f>0</f>
        <v/>
      </c>
    </row>
    <row r="9">
      <c r="B9" s="16" t="inlineStr">
        <is>
          <t>Closing Balance</t>
        </is>
      </c>
      <c r="D9" s="17">
        <f>C7+C8</f>
        <v/>
      </c>
      <c r="E9" s="17">
        <f>D7+D8</f>
        <v/>
      </c>
      <c r="F9" s="17">
        <f>E7+E8</f>
        <v/>
      </c>
      <c r="G9" s="17">
        <f>F7+F8</f>
        <v/>
      </c>
      <c r="H9" s="17">
        <f>G7+G8</f>
        <v/>
      </c>
    </row>
    <row r="11">
      <c r="B11" s="4" t="inlineStr">
        <is>
          <t>LONG-TERM DEBT</t>
        </is>
      </c>
    </row>
    <row r="12">
      <c r="B12" s="5" t="inlineStr">
        <is>
          <t>Opening Balance</t>
        </is>
      </c>
      <c r="D12" s="17">
        <f>B13</f>
        <v/>
      </c>
      <c r="E12" s="17">
        <f>C13</f>
        <v/>
      </c>
      <c r="F12" s="17">
        <f>D13</f>
        <v/>
      </c>
      <c r="G12" s="17">
        <f>E13</f>
        <v/>
      </c>
      <c r="H12" s="17">
        <f>F13</f>
        <v/>
      </c>
    </row>
    <row r="13">
      <c r="B13" s="5" t="inlineStr">
        <is>
          <t>Drawdown/(Repayment)</t>
        </is>
      </c>
      <c r="D13" s="17">
        <f>0</f>
        <v/>
      </c>
      <c r="E13" s="17">
        <f>0</f>
        <v/>
      </c>
      <c r="F13" s="17">
        <f>0</f>
        <v/>
      </c>
      <c r="G13" s="17">
        <f>0</f>
        <v/>
      </c>
      <c r="H13" s="17">
        <f>0</f>
        <v/>
      </c>
    </row>
    <row r="14">
      <c r="B14" s="16" t="inlineStr">
        <is>
          <t>Closing Balance</t>
        </is>
      </c>
      <c r="D14" s="17">
        <f>C12+C13</f>
        <v/>
      </c>
      <c r="E14" s="17">
        <f>D12+D13</f>
        <v/>
      </c>
      <c r="F14" s="17">
        <f>E12+E13</f>
        <v/>
      </c>
      <c r="G14" s="17">
        <f>F12+F13</f>
        <v/>
      </c>
      <c r="H14" s="17">
        <f>G12+G13</f>
        <v/>
      </c>
    </row>
    <row r="16">
      <c r="B16" s="16" t="inlineStr">
        <is>
          <t>TOTAL DEBT</t>
        </is>
      </c>
      <c r="D16" s="17">
        <f>C9+C14</f>
        <v/>
      </c>
      <c r="E16" s="17">
        <f>D9+D14</f>
        <v/>
      </c>
      <c r="F16" s="17">
        <f>E9+E14</f>
        <v/>
      </c>
      <c r="G16" s="17">
        <f>F9+F14</f>
        <v/>
      </c>
      <c r="H16" s="17">
        <f>G9+G14</f>
        <v/>
      </c>
    </row>
    <row r="17">
      <c r="B17" s="5" t="inlineStr">
        <is>
          <t>Net Change in Debt</t>
        </is>
      </c>
      <c r="D17" s="17">
        <f>C8+C13</f>
        <v/>
      </c>
      <c r="E17" s="17">
        <f>D8+D13</f>
        <v/>
      </c>
      <c r="F17" s="17">
        <f>E8+E13</f>
        <v/>
      </c>
      <c r="G17" s="17">
        <f>F8+F13</f>
        <v/>
      </c>
      <c r="H17" s="17">
        <f>G8+G13</f>
        <v/>
      </c>
    </row>
    <row r="19">
      <c r="B19" s="4" t="inlineStr">
        <is>
          <t>INTEREST EXPENSE</t>
        </is>
      </c>
    </row>
    <row r="20">
      <c r="B20" s="5" t="inlineStr">
        <is>
          <t>Interest on Short-term</t>
        </is>
      </c>
      <c r="D20" s="17">
        <f>(C7+C9)/2*Cost_of_Debt</f>
        <v/>
      </c>
      <c r="E20" s="17">
        <f>(D7+D9)/2*Dost_of_Debt</f>
        <v/>
      </c>
      <c r="F20" s="17">
        <f>(E7+E9)/2*Eost_of_Debt</f>
        <v/>
      </c>
      <c r="G20" s="17">
        <f>(F7+F9)/2*Fost_of_Debt</f>
        <v/>
      </c>
      <c r="H20" s="17">
        <f>(G7+G9)/2*Gost_of_Debt</f>
        <v/>
      </c>
    </row>
    <row r="21">
      <c r="B21" s="5" t="inlineStr">
        <is>
          <t>Interest on Long-term</t>
        </is>
      </c>
      <c r="D21" s="17">
        <f>(C12+C14)/2*Cost_of_Debt</f>
        <v/>
      </c>
      <c r="E21" s="17">
        <f>(D12+D14)/2*Dost_of_Debt</f>
        <v/>
      </c>
      <c r="F21" s="17">
        <f>(E12+E14)/2*Eost_of_Debt</f>
        <v/>
      </c>
      <c r="G21" s="17">
        <f>(F12+F14)/2*Fost_of_Debt</f>
        <v/>
      </c>
      <c r="H21" s="17">
        <f>(G12+G14)/2*Gost_of_Debt</f>
        <v/>
      </c>
    </row>
    <row r="22">
      <c r="B22" s="16" t="inlineStr">
        <is>
          <t>Total Interest</t>
        </is>
      </c>
      <c r="D22" s="17">
        <f>C20+C21</f>
        <v/>
      </c>
      <c r="E22" s="17">
        <f>D20+D21</f>
        <v/>
      </c>
      <c r="F22" s="17">
        <f>E20+E21</f>
        <v/>
      </c>
      <c r="G22" s="17">
        <f>F20+F21</f>
        <v/>
      </c>
      <c r="H22" s="17">
        <f>G20+G21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H39"/>
  <sheetViews>
    <sheetView workbookViewId="0">
      <selection activeCell="A1" sqref="A1"/>
    </sheetView>
  </sheetViews>
  <sheetFormatPr baseColWidth="8" defaultRowHeight="15"/>
  <cols>
    <col width="3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2">
      <c r="B2" s="1" t="inlineStr">
        <is>
          <t>Valuation Analysis</t>
        </is>
      </c>
    </row>
    <row r="5">
      <c r="B5" s="4" t="inlineStr">
        <is>
          <t>WACC Calculation</t>
        </is>
      </c>
    </row>
    <row r="6">
      <c r="B6" s="5" t="inlineStr">
        <is>
          <t>Risk-free Rate</t>
        </is>
      </c>
      <c r="C6" s="9">
        <f>Risk_free_Rate</f>
        <v/>
      </c>
    </row>
    <row r="7">
      <c r="B7" s="5" t="inlineStr">
        <is>
          <t>Equity Risk Premium</t>
        </is>
      </c>
      <c r="C7" s="9">
        <f>Equity_Risk_Premium</f>
        <v/>
      </c>
    </row>
    <row r="8">
      <c r="B8" s="5" t="inlineStr">
        <is>
          <t>Beta</t>
        </is>
      </c>
      <c r="C8" s="20">
        <f>Beta</f>
        <v/>
      </c>
    </row>
    <row r="9">
      <c r="B9" s="5" t="inlineStr">
        <is>
          <t>Cost of Equity</t>
        </is>
      </c>
      <c r="C9" s="9">
        <f>C6+C7*C8</f>
        <v/>
      </c>
    </row>
    <row r="11">
      <c r="B11" s="5" t="inlineStr">
        <is>
          <t>Cost of Debt (pre-tax)</t>
        </is>
      </c>
      <c r="C11" s="9">
        <f>Cost_of_Debt</f>
        <v/>
      </c>
    </row>
    <row r="12">
      <c r="B12" s="5" t="inlineStr">
        <is>
          <t>Tax Rate</t>
        </is>
      </c>
      <c r="C12" s="9">
        <f>Tax_Rate</f>
        <v/>
      </c>
    </row>
    <row r="13">
      <c r="B13" s="5" t="inlineStr">
        <is>
          <t>Cost of Debt (post-tax)</t>
        </is>
      </c>
      <c r="C13" s="9">
        <f>C11*(1-C12)</f>
        <v/>
      </c>
    </row>
    <row r="15">
      <c r="B15" s="5" t="inlineStr">
        <is>
          <t>Target Debt/Equity</t>
        </is>
      </c>
      <c r="C15" s="20">
        <f>0.5</f>
        <v/>
      </c>
    </row>
    <row r="16">
      <c r="B16" s="5" t="inlineStr">
        <is>
          <t>Weight of Equity</t>
        </is>
      </c>
      <c r="C16" s="9">
        <f>1/(1+C14)</f>
        <v/>
      </c>
    </row>
    <row r="17">
      <c r="B17" s="5" t="inlineStr">
        <is>
          <t>Weight of Debt</t>
        </is>
      </c>
      <c r="C17" s="9">
        <f>C14/(1+C14)</f>
        <v/>
      </c>
    </row>
    <row r="19">
      <c r="B19" s="16" t="inlineStr">
        <is>
          <t>WACC</t>
        </is>
      </c>
      <c r="C19" s="21">
        <f>C15*C9+C16*C13</f>
        <v/>
      </c>
    </row>
    <row r="22">
      <c r="B22" s="4" t="inlineStr">
        <is>
          <t>DCF Valuation</t>
        </is>
      </c>
    </row>
    <row r="23">
      <c r="C23" s="11" t="inlineStr">
        <is>
          <t>Year 1</t>
        </is>
      </c>
      <c r="D23" s="11" t="inlineStr">
        <is>
          <t>Year 2</t>
        </is>
      </c>
      <c r="E23" s="11" t="inlineStr">
        <is>
          <t>Year 3</t>
        </is>
      </c>
      <c r="F23" s="11" t="inlineStr">
        <is>
          <t>Year 4</t>
        </is>
      </c>
      <c r="G23" s="11" t="inlineStr">
        <is>
          <t>Year 5</t>
        </is>
      </c>
      <c r="H23" s="11" t="inlineStr">
        <is>
          <t>Terminal</t>
        </is>
      </c>
    </row>
    <row r="24">
      <c r="B24" s="5" t="inlineStr">
        <is>
          <t>Free Cash Flow to Firm</t>
        </is>
      </c>
      <c r="C24" s="17">
        <f>Forecast_IS!C12-Forecast_CF!C14+Forecast_CF!C9</f>
        <v/>
      </c>
      <c r="D24" s="17">
        <f>Forecast_IS!D12-Forecast_CF!D14+Forecast_CF!D9</f>
        <v/>
      </c>
      <c r="E24" s="17">
        <f>Forecast_IS!E12-Forecast_CF!E14+Forecast_CF!E9</f>
        <v/>
      </c>
      <c r="F24" s="17">
        <f>Forecast_IS!F12-Forecast_CF!F14+Forecast_CF!F9</f>
        <v/>
      </c>
      <c r="G24" s="17">
        <f>Forecast_IS!G12-Forecast_CF!G14+Forecast_CF!G9</f>
        <v/>
      </c>
    </row>
    <row r="25">
      <c r="B25" s="5" t="inlineStr">
        <is>
          <t>Discount Factor</t>
        </is>
      </c>
      <c r="C25" s="22">
        <f>1/(1+$C$18)^1</f>
        <v/>
      </c>
      <c r="D25" s="22">
        <f>1/(1+$C$18)^2</f>
        <v/>
      </c>
      <c r="E25" s="22">
        <f>1/(1+$C$18)^3</f>
        <v/>
      </c>
      <c r="F25" s="22">
        <f>1/(1+$C$18)^4</f>
        <v/>
      </c>
      <c r="G25" s="22">
        <f>1/(1+$C$18)^5</f>
        <v/>
      </c>
    </row>
    <row r="26">
      <c r="B26" s="16" t="inlineStr">
        <is>
          <t>Present Value of FCFF</t>
        </is>
      </c>
      <c r="C26" s="17">
        <f>C24*C25</f>
        <v/>
      </c>
      <c r="D26" s="17">
        <f>D24*D25</f>
        <v/>
      </c>
      <c r="E26" s="17">
        <f>E24*E25</f>
        <v/>
      </c>
      <c r="F26" s="17">
        <f>F24*F25</f>
        <v/>
      </c>
      <c r="G26" s="17">
        <f>G24*G25</f>
        <v/>
      </c>
    </row>
    <row r="28">
      <c r="B28" s="5" t="inlineStr">
        <is>
          <t>Terminal Growth Rate</t>
        </is>
      </c>
      <c r="C28" s="15">
        <f>Terminal_Growth</f>
        <v/>
      </c>
    </row>
    <row r="29">
      <c r="B29" s="5" t="inlineStr">
        <is>
          <t>Terminal Value</t>
        </is>
      </c>
      <c r="C29" s="17">
        <f>IFERROR(G24*(1+C28)/($C$18-C28),0)</f>
        <v/>
      </c>
    </row>
    <row r="30">
      <c r="B30" s="5" t="inlineStr">
        <is>
          <t>PV of Terminal Value</t>
        </is>
      </c>
      <c r="C30" s="17">
        <f>C29*G25</f>
        <v/>
      </c>
    </row>
    <row r="32">
      <c r="B32" s="4" t="inlineStr">
        <is>
          <t>Valuation Summary</t>
        </is>
      </c>
    </row>
    <row r="33">
      <c r="B33" s="5" t="inlineStr">
        <is>
          <t>Sum of PV of FCFF</t>
        </is>
      </c>
      <c r="C33" s="17">
        <f>SUM(C26:G26)</f>
        <v/>
      </c>
    </row>
    <row r="34">
      <c r="B34" s="5" t="inlineStr">
        <is>
          <t>PV of Terminal Value</t>
        </is>
      </c>
      <c r="C34" s="17">
        <f>C31</f>
        <v/>
      </c>
    </row>
    <row r="35">
      <c r="B35" s="16" t="inlineStr">
        <is>
          <t>Enterprise Value</t>
        </is>
      </c>
      <c r="C35" s="23">
        <f>C33+C34</f>
        <v/>
      </c>
    </row>
    <row r="36">
      <c r="B36" s="5" t="inlineStr">
        <is>
          <t>Less: Net Debt</t>
        </is>
      </c>
      <c r="C36" s="17">
        <f>Debt_Schedule!C15-Forecast_BS!C7</f>
        <v/>
      </c>
    </row>
    <row r="37">
      <c r="B37" s="16" t="inlineStr">
        <is>
          <t>Equity Value</t>
        </is>
      </c>
      <c r="C37" s="23">
        <f>C35-C36</f>
        <v/>
      </c>
    </row>
    <row r="38">
      <c r="B38" s="5" t="inlineStr">
        <is>
          <t>Shares Outstanding (Cr)</t>
        </is>
      </c>
      <c r="C38" s="20">
        <f>10</f>
        <v/>
      </c>
    </row>
    <row r="39">
      <c r="B39" s="16" t="inlineStr">
        <is>
          <t>Implied Share Price</t>
        </is>
      </c>
      <c r="C39" s="24">
        <f>IFERROR(C37/C38*10000000,0)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2:B6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ADANIPOWER - Financial Dashboard</t>
        </is>
      </c>
    </row>
    <row r="4">
      <c r="B4" s="25" t="inlineStr">
        <is>
          <t>Key charts and metrics will be displayed here.</t>
        </is>
      </c>
    </row>
    <row r="6">
      <c r="B6" t="inlineStr">
        <is>
          <t>Note: Charts are best viewed after populating the model with actual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2026-01-29T15:12:34Z</dcterms:created>
  <dcterms:modified xmlns:dcterms="http://purl.org/dc/terms/" xmlns:xsi="http://www.w3.org/2001/XMLSchema-instance" xsi:type="dcterms:W3CDTF">2026-01-29T15:12:35Z</dcterms:modified>
</cp:coreProperties>
</file>